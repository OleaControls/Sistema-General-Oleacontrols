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M32UM\Desktop\"/>
    </mc:Choice>
  </mc:AlternateContent>
  <xr:revisionPtr revIDLastSave="0" documentId="8_{9241DCD6-DFB4-4CE1-AA4D-5863B32E3B1F}" xr6:coauthVersionLast="47" xr6:coauthVersionMax="47" xr10:uidLastSave="{00000000-0000-0000-0000-000000000000}"/>
  <bookViews>
    <workbookView xWindow="-108" yWindow="-108" windowWidth="23256" windowHeight="12576" xr2:uid="{E557CB57-2A6F-4C0E-8057-079EB621F910}"/>
  </bookViews>
  <sheets>
    <sheet name="CULTURA" sheetId="1" r:id="rId1"/>
    <sheet name="RECIBO" sheetId="5" r:id="rId2"/>
    <sheet name="Hoja2" sheetId="2" state="hidden" r:id="rId3"/>
  </sheets>
  <definedNames>
    <definedName name="ima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5" l="1"/>
  <c r="L27" i="5"/>
  <c r="L29" i="5"/>
  <c r="L31" i="5"/>
  <c r="L33" i="5"/>
  <c r="L34" i="5"/>
  <c r="L35" i="5"/>
  <c r="L36" i="5"/>
  <c r="M36" i="5" s="1"/>
  <c r="L39" i="5"/>
  <c r="E34" i="5"/>
  <c r="G34" i="5" s="1"/>
  <c r="E39" i="5"/>
  <c r="E37" i="5"/>
  <c r="E33" i="5"/>
  <c r="E32" i="5"/>
  <c r="E28" i="5"/>
  <c r="E23" i="5"/>
  <c r="G23" i="5" s="1"/>
  <c r="G40" i="5"/>
  <c r="M39" i="5"/>
  <c r="G39" i="5"/>
  <c r="G37" i="5"/>
  <c r="M35" i="5"/>
  <c r="M34" i="5"/>
  <c r="M33" i="5"/>
  <c r="G33" i="5"/>
  <c r="G32" i="5"/>
  <c r="M31" i="5"/>
  <c r="M29" i="5"/>
  <c r="G29" i="5"/>
  <c r="G28" i="5"/>
  <c r="M27" i="5"/>
  <c r="G26" i="5"/>
  <c r="M25" i="5"/>
  <c r="G25" i="5"/>
  <c r="G20" i="5"/>
  <c r="F20" i="5"/>
  <c r="D44" i="5" s="1"/>
  <c r="F44" i="5" s="1"/>
  <c r="D20" i="5"/>
  <c r="AJ16" i="1"/>
  <c r="E24" i="5" s="1"/>
  <c r="G24" i="5" s="1"/>
  <c r="AJ17" i="1"/>
  <c r="AJ18" i="1"/>
  <c r="E30" i="5" s="1"/>
  <c r="G30" i="5" s="1"/>
  <c r="AJ19" i="1"/>
  <c r="E31" i="5" s="1"/>
  <c r="G31" i="5" s="1"/>
  <c r="AJ20" i="1"/>
  <c r="AJ21" i="1"/>
  <c r="AJ22" i="1"/>
  <c r="AJ23" i="1"/>
  <c r="E35" i="5" s="1"/>
  <c r="G35" i="5" s="1"/>
  <c r="AJ24" i="1"/>
  <c r="AJ25" i="1"/>
  <c r="E38" i="5" s="1"/>
  <c r="G38" i="5" s="1"/>
  <c r="AJ26" i="1"/>
  <c r="AJ28" i="1"/>
  <c r="L24" i="5" s="1"/>
  <c r="M24" i="5" s="1"/>
  <c r="AJ29" i="1"/>
  <c r="AJ30" i="1"/>
  <c r="L26" i="5" s="1"/>
  <c r="M26" i="5" s="1"/>
  <c r="AJ31" i="1"/>
  <c r="AJ32" i="1"/>
  <c r="L28" i="5" s="1"/>
  <c r="M28" i="5" s="1"/>
  <c r="AJ33" i="1"/>
  <c r="AJ34" i="1"/>
  <c r="L30" i="5" s="1"/>
  <c r="M30" i="5" s="1"/>
  <c r="AJ35" i="1"/>
  <c r="AJ36" i="1"/>
  <c r="L32" i="5" s="1"/>
  <c r="M32" i="5" s="1"/>
  <c r="AJ37" i="1"/>
  <c r="AJ38" i="1"/>
  <c r="AJ39" i="1"/>
  <c r="AJ40" i="1"/>
  <c r="AJ41" i="1"/>
  <c r="L37" i="5" s="1"/>
  <c r="M37" i="5" s="1"/>
  <c r="AJ42" i="1"/>
  <c r="L38" i="5" s="1"/>
  <c r="M38" i="5" s="1"/>
  <c r="AJ43" i="1"/>
  <c r="AJ44" i="1"/>
  <c r="AJ15" i="1"/>
  <c r="K20" i="5" l="1"/>
  <c r="M20" i="5" s="1"/>
  <c r="K22" i="5"/>
  <c r="M22" i="5" s="1"/>
  <c r="E46" i="5"/>
  <c r="L52" i="5" s="1"/>
  <c r="K21" i="5"/>
  <c r="M21" i="5" s="1"/>
  <c r="K46" i="5" l="1"/>
  <c r="L53" i="5" s="1"/>
  <c r="L54" i="5" s="1"/>
  <c r="J57" i="5" s="1"/>
  <c r="V9" i="1"/>
  <c r="B12" i="2"/>
  <c r="B11" i="2"/>
  <c r="B10" i="2"/>
  <c r="B9" i="2"/>
  <c r="B8" i="2"/>
  <c r="B7" i="2"/>
  <c r="B6" i="2"/>
  <c r="B5" i="2"/>
  <c r="B4" i="2"/>
  <c r="B3" i="2"/>
  <c r="B2" i="2"/>
  <c r="B1" i="2"/>
  <c r="E11" i="1" l="1"/>
  <c r="E12" i="1" s="1"/>
  <c r="V7" i="1" l="1"/>
  <c r="W9" i="1" s="1"/>
  <c r="F13" i="1" s="1"/>
  <c r="G13" i="1" l="1"/>
  <c r="F11" i="1"/>
  <c r="F12" i="1" s="1"/>
  <c r="H13" i="1" l="1"/>
  <c r="G11" i="1"/>
  <c r="G12" i="1" s="1"/>
  <c r="I13" i="1" l="1"/>
  <c r="H11" i="1"/>
  <c r="H12" i="1" s="1"/>
  <c r="J13" i="1" l="1"/>
  <c r="I11" i="1"/>
  <c r="I12" i="1" s="1"/>
  <c r="K13" i="1" l="1"/>
  <c r="J11" i="1"/>
  <c r="J12" i="1" s="1"/>
  <c r="L13" i="1" l="1"/>
  <c r="K11" i="1"/>
  <c r="K12" i="1" s="1"/>
  <c r="M13" i="1" l="1"/>
  <c r="L11" i="1"/>
  <c r="L12" i="1" s="1"/>
  <c r="N13" i="1" l="1"/>
  <c r="M11" i="1"/>
  <c r="M12" i="1" s="1"/>
  <c r="O13" i="1" l="1"/>
  <c r="N11" i="1"/>
  <c r="N12" i="1" s="1"/>
  <c r="P13" i="1" l="1"/>
  <c r="O11" i="1"/>
  <c r="O12" i="1" s="1"/>
  <c r="Q13" i="1" l="1"/>
  <c r="P11" i="1"/>
  <c r="P12" i="1" s="1"/>
  <c r="R13" i="1" l="1"/>
  <c r="Q11" i="1"/>
  <c r="Q12" i="1" s="1"/>
  <c r="S13" i="1" l="1"/>
  <c r="R11" i="1"/>
  <c r="R12" i="1" s="1"/>
  <c r="T13" i="1" l="1"/>
  <c r="S11" i="1"/>
  <c r="S12" i="1" s="1"/>
  <c r="U13" i="1" l="1"/>
  <c r="T11" i="1"/>
  <c r="T12" i="1" s="1"/>
  <c r="V13" i="1" l="1"/>
  <c r="U11" i="1"/>
  <c r="U12" i="1" s="1"/>
  <c r="W13" i="1" l="1"/>
  <c r="V11" i="1"/>
  <c r="V12" i="1" s="1"/>
  <c r="X13" i="1" l="1"/>
  <c r="W11" i="1"/>
  <c r="W12" i="1" s="1"/>
  <c r="Y13" i="1" l="1"/>
  <c r="X11" i="1"/>
  <c r="X12" i="1" s="1"/>
  <c r="Z13" i="1" l="1"/>
  <c r="Y11" i="1"/>
  <c r="Y12" i="1" s="1"/>
  <c r="AA13" i="1" l="1"/>
  <c r="Z11" i="1"/>
  <c r="Z12" i="1" s="1"/>
  <c r="AB13" i="1" l="1"/>
  <c r="AA11" i="1"/>
  <c r="AA12" i="1" s="1"/>
  <c r="AC13" i="1" l="1"/>
  <c r="AB11" i="1"/>
  <c r="AB12" i="1" s="1"/>
  <c r="AD13" i="1" l="1"/>
  <c r="AC11" i="1"/>
  <c r="AC12" i="1" s="1"/>
  <c r="AE13" i="1" l="1"/>
  <c r="AD11" i="1"/>
  <c r="AD12" i="1" s="1"/>
  <c r="AF13" i="1" l="1"/>
  <c r="AE11" i="1"/>
  <c r="AE12" i="1" s="1"/>
  <c r="AG13" i="1" l="1"/>
  <c r="AF11" i="1"/>
  <c r="AF12" i="1" s="1"/>
  <c r="AH13" i="1" l="1"/>
  <c r="AG11" i="1"/>
  <c r="AG12" i="1" s="1"/>
  <c r="AI13" i="1" l="1"/>
  <c r="AI11" i="1" s="1"/>
  <c r="AI12" i="1" s="1"/>
  <c r="AH11" i="1"/>
  <c r="AH12" i="1" s="1"/>
  <c r="W7" i="1" l="1"/>
  <c r="AE3" i="1" l="1"/>
</calcChain>
</file>

<file path=xl/sharedStrings.xml><?xml version="1.0" encoding="utf-8"?>
<sst xmlns="http://schemas.openxmlformats.org/spreadsheetml/2006/main" count="151" uniqueCount="108">
  <si>
    <t>INSTITUCIÓN:</t>
  </si>
  <si>
    <t>MES</t>
  </si>
  <si>
    <t>Marzo</t>
  </si>
  <si>
    <t>T</t>
  </si>
  <si>
    <t>J</t>
  </si>
  <si>
    <t>AÑO</t>
  </si>
  <si>
    <t>Enero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</si>
  <si>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</si>
  <si>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</si>
  <si>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</si>
  <si>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</si>
  <si>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</si>
  <si>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</si>
  <si>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</si>
  <si>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</si>
  <si>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</si>
  <si>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</si>
  <si>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</t>
  </si>
  <si>
    <t>M</t>
  </si>
  <si>
    <t>V</t>
  </si>
  <si>
    <t>S</t>
  </si>
  <si>
    <t>D</t>
  </si>
  <si>
    <t>%</t>
  </si>
  <si>
    <t xml:space="preserve">OLEA CONTROLS MEXICO </t>
  </si>
  <si>
    <t>ROSA AMALIA ARZA MARTINEZ</t>
  </si>
  <si>
    <t>SERVICIO A CLIENTES</t>
  </si>
  <si>
    <t>Club 6am</t>
  </si>
  <si>
    <t>Gigas ilimitados celular</t>
  </si>
  <si>
    <t>Meta alcanzada</t>
  </si>
  <si>
    <t>Gimnasio (comprobante mensual)</t>
  </si>
  <si>
    <t>Limpieza dental (comprobante semestral)</t>
  </si>
  <si>
    <t>Lectura Reto libro</t>
  </si>
  <si>
    <t>Consulta médica Preventiva - CMP</t>
  </si>
  <si>
    <t>Consúlta Psicológica Preventiva- CPP</t>
  </si>
  <si>
    <t>Comisión por imagen personal</t>
  </si>
  <si>
    <t>Comisión por cuidar herramientas</t>
  </si>
  <si>
    <t>Comi por llevar herramientas</t>
  </si>
  <si>
    <t xml:space="preserve"> ProEx</t>
  </si>
  <si>
    <t>M.A.D.</t>
  </si>
  <si>
    <t>S. Gumby</t>
  </si>
  <si>
    <t>Humildad</t>
  </si>
  <si>
    <t>La Panoramización</t>
  </si>
  <si>
    <t>La Auditoría</t>
  </si>
  <si>
    <t>La Reiteración</t>
  </si>
  <si>
    <t>ZAPES</t>
  </si>
  <si>
    <t>Ciclo OODA</t>
  </si>
  <si>
    <t>S.T.D.</t>
  </si>
  <si>
    <t>Visualización</t>
  </si>
  <si>
    <t>Respiración</t>
  </si>
  <si>
    <t>MiMMOOTs</t>
  </si>
  <si>
    <t>Positividad</t>
  </si>
  <si>
    <t>Código de Honor-CDH</t>
  </si>
  <si>
    <t>Zoho FSM</t>
  </si>
  <si>
    <t>DEDUCCCIONES</t>
  </si>
  <si>
    <t>CONCEPTO</t>
  </si>
  <si>
    <t>NO</t>
  </si>
  <si>
    <t>PERIODO:</t>
  </si>
  <si>
    <t>CARGO:</t>
  </si>
  <si>
    <t>COLABORADOR:</t>
  </si>
  <si>
    <t>RECIBO DE NOMINA</t>
  </si>
  <si>
    <t>INFORMACIÓN DEL COLABORADOR</t>
  </si>
  <si>
    <t>NOMBRE</t>
  </si>
  <si>
    <t>ARZA MARTINEZ ROSA AMALIA</t>
  </si>
  <si>
    <t>ID DEL EMPLEADO</t>
  </si>
  <si>
    <t>AAMR860816</t>
  </si>
  <si>
    <t>PUESTO</t>
  </si>
  <si>
    <t>EJECUTIVO SERVICIO A CLIENTES</t>
  </si>
  <si>
    <t>PERÍODO DE DECLARACIÓN</t>
  </si>
  <si>
    <t>16 al 31 de Agosto 2025</t>
  </si>
  <si>
    <t>NÚM. DE SEGURIDAD SOCIAL</t>
  </si>
  <si>
    <t>FECHA DE PAGO</t>
  </si>
  <si>
    <t>INGRESOS</t>
  </si>
  <si>
    <t>PAGO</t>
  </si>
  <si>
    <t>DEDUCCIONES</t>
  </si>
  <si>
    <t>SUELDO</t>
  </si>
  <si>
    <t>SDI</t>
  </si>
  <si>
    <t>DIAS</t>
  </si>
  <si>
    <t>HASTA
LA FECHA</t>
  </si>
  <si>
    <t>IMPUESTOS</t>
  </si>
  <si>
    <t>COSTO</t>
  </si>
  <si>
    <t>APLICACIÓN</t>
  </si>
  <si>
    <t>ISR</t>
  </si>
  <si>
    <t>N/A</t>
  </si>
  <si>
    <t>BONIFICACIONES</t>
  </si>
  <si>
    <t>IMPUESTO ESTATAL</t>
  </si>
  <si>
    <t>IMPUESTO DE SEGURIDAD
SOCIAL</t>
  </si>
  <si>
    <t>ESCARMIENTOS</t>
  </si>
  <si>
    <t>Consulta médica (solo en caso de estar cumpliendo con su deber)</t>
  </si>
  <si>
    <t>Capacitación Según logros</t>
  </si>
  <si>
    <t>INCENTIVOS</t>
  </si>
  <si>
    <t>Recomendación para que cotice un cliente</t>
  </si>
  <si>
    <t>COMISIONES</t>
  </si>
  <si>
    <t>Com. por cerrar la venta 1%</t>
  </si>
  <si>
    <t>PRESTACIONES</t>
  </si>
  <si>
    <t>TIPO</t>
  </si>
  <si>
    <t>DIAS APLICADOS</t>
  </si>
  <si>
    <t>IMPORTE</t>
  </si>
  <si>
    <t>TIEMPO EXTRA</t>
  </si>
  <si>
    <t>INGRESOS BRUTOS</t>
  </si>
  <si>
    <t>TOTAL DE DEDUCCIONES</t>
  </si>
  <si>
    <t>TOTAL</t>
  </si>
  <si>
    <t>COMENTARIOS:</t>
  </si>
  <si>
    <t xml:space="preserve">TOTAL </t>
  </si>
  <si>
    <t>BRUTO</t>
  </si>
  <si>
    <t xml:space="preserve">NETO </t>
  </si>
  <si>
    <t>NETO TOTAL</t>
  </si>
  <si>
    <t>TOTALES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</si>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</sst>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5" formatCode="#,##0_ ;\-#,##0\ "/>
  </numFmts>
  <fonts count="38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4"/>
      <color theme="4" tint="-0.249977111117893"/>
      <name val="Arial Narrow"/>
      <family val="2"/>
    </font>
    <font>
      <sz val="12"/>
      <color theme="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7"/>
      <color theme="0"/>
      <name val="Arial"/>
      <family val="2"/>
    </font>
    <font>
      <b/>
      <sz val="12"/>
      <color theme="0"/>
      <name val="Arial"/>
      <family val="2"/>
    </font>
    <font>
      <b/>
      <sz val="6.5"/>
      <color theme="0"/>
      <name val="Arial"/>
      <family val="2"/>
    </font>
    <font>
      <b/>
      <sz val="6.5"/>
      <name val="Arial"/>
      <family val="2"/>
    </font>
    <font>
      <sz val="7"/>
      <color theme="0" tint="-0.1499984740745262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Roboto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Roboto"/>
    </font>
    <font>
      <b/>
      <sz val="12"/>
      <color theme="1"/>
      <name val="Roboto"/>
    </font>
    <font>
      <sz val="9"/>
      <color theme="1"/>
      <name val="Calibri"/>
      <family val="2"/>
      <scheme val="minor"/>
    </font>
    <font>
      <b/>
      <sz val="9"/>
      <color theme="1"/>
      <name val="Roboto"/>
    </font>
    <font>
      <sz val="10"/>
      <color theme="1"/>
      <name val="Roboto"/>
    </font>
    <font>
      <b/>
      <sz val="10"/>
      <color rgb="FFFF0000"/>
      <name val="Roboto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9"/>
      <color rgb="FFFF0000"/>
      <name val="Roboto"/>
    </font>
    <font>
      <b/>
      <sz val="10"/>
      <color rgb="FFFFFFFF"/>
      <name val="Roboto"/>
    </font>
    <font>
      <b/>
      <sz val="20"/>
      <color theme="1"/>
      <name val="Roboto"/>
    </font>
  </fonts>
  <fills count="1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36E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D2D9"/>
        <bgColor rgb="FFC6D2D9"/>
      </patternFill>
    </fill>
    <fill>
      <patternFill patternType="solid">
        <fgColor rgb="FFEFF4F7"/>
        <bgColor rgb="FFEFF4F7"/>
      </patternFill>
    </fill>
    <fill>
      <patternFill patternType="solid">
        <fgColor theme="0"/>
        <bgColor theme="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1D4FA"/>
        <bgColor rgb="FF81D4FA"/>
      </patternFill>
    </fill>
    <fill>
      <patternFill patternType="solid">
        <fgColor theme="0"/>
        <bgColor indexed="64"/>
      </patternFill>
    </fill>
    <fill>
      <patternFill patternType="solid">
        <fgColor rgb="FF03A9F4"/>
        <bgColor rgb="FF03A9F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rgb="FF136E42"/>
      </top>
      <bottom style="thin">
        <color theme="0" tint="-0.499984740745262"/>
      </bottom>
      <diagonal/>
    </border>
    <border>
      <left style="thin">
        <color rgb="FFC6D2D9"/>
      </left>
      <right/>
      <top style="thin">
        <color rgb="FFC6D2D9"/>
      </top>
      <bottom style="thin">
        <color rgb="FFC6D2D9"/>
      </bottom>
      <diagonal/>
    </border>
    <border>
      <left/>
      <right/>
      <top style="thin">
        <color rgb="FFC6D2D9"/>
      </top>
      <bottom style="thin">
        <color rgb="FFC6D2D9"/>
      </bottom>
      <diagonal/>
    </border>
    <border>
      <left/>
      <right style="thin">
        <color rgb="FFC6D2D9"/>
      </right>
      <top style="thin">
        <color rgb="FFC6D2D9"/>
      </top>
      <bottom style="thin">
        <color rgb="FFC6D2D9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rgb="FFC6D2D9"/>
      </left>
      <right/>
      <top style="double">
        <color rgb="FFC6D2D9"/>
      </top>
      <bottom/>
      <diagonal/>
    </border>
    <border>
      <left/>
      <right/>
      <top style="double">
        <color rgb="FFC6D2D9"/>
      </top>
      <bottom/>
      <diagonal/>
    </border>
    <border>
      <left/>
      <right style="double">
        <color rgb="FFC6D2D9"/>
      </right>
      <top style="double">
        <color rgb="FFC6D2D9"/>
      </top>
      <bottom/>
      <diagonal/>
    </border>
    <border>
      <left style="double">
        <color rgb="FFC6D2D9"/>
      </left>
      <right/>
      <top/>
      <bottom/>
      <diagonal/>
    </border>
    <border>
      <left/>
      <right style="double">
        <color rgb="FFC6D2D9"/>
      </right>
      <top/>
      <bottom/>
      <diagonal/>
    </border>
    <border>
      <left style="double">
        <color rgb="FFC6D2D9"/>
      </left>
      <right/>
      <top/>
      <bottom style="double">
        <color rgb="FFC6D2D9"/>
      </bottom>
      <diagonal/>
    </border>
    <border>
      <left/>
      <right/>
      <top/>
      <bottom style="double">
        <color rgb="FFC6D2D9"/>
      </bottom>
      <diagonal/>
    </border>
    <border>
      <left/>
      <right style="double">
        <color rgb="FFC6D2D9"/>
      </right>
      <top/>
      <bottom style="double">
        <color rgb="FFC6D2D9"/>
      </bottom>
      <diagonal/>
    </border>
    <border>
      <left style="thin">
        <color rgb="FFC6D2D9"/>
      </left>
      <right/>
      <top/>
      <bottom/>
      <diagonal/>
    </border>
    <border>
      <left/>
      <right style="thin">
        <color rgb="FFC6D2D9"/>
      </right>
      <top/>
      <bottom/>
      <diagonal/>
    </border>
    <border>
      <left style="thin">
        <color rgb="FFC6D2D9"/>
      </left>
      <right/>
      <top/>
      <bottom style="thin">
        <color rgb="FFC6D2D9"/>
      </bottom>
      <diagonal/>
    </border>
    <border>
      <left/>
      <right/>
      <top/>
      <bottom style="thin">
        <color rgb="FFC6D2D9"/>
      </bottom>
      <diagonal/>
    </border>
    <border>
      <left/>
      <right style="thin">
        <color rgb="FFC6D2D9"/>
      </right>
      <top/>
      <bottom style="thin">
        <color rgb="FFC6D2D9"/>
      </bottom>
      <diagonal/>
    </border>
    <border>
      <left style="thin">
        <color rgb="FFC6D2D9"/>
      </left>
      <right/>
      <top style="thin">
        <color rgb="FFC6D2D9"/>
      </top>
      <bottom/>
      <diagonal/>
    </border>
    <border>
      <left/>
      <right/>
      <top style="thin">
        <color rgb="FFC6D2D9"/>
      </top>
      <bottom/>
      <diagonal/>
    </border>
    <border>
      <left/>
      <right style="thin">
        <color rgb="FFC6D2D9"/>
      </right>
      <top style="thin">
        <color rgb="FFC6D2D9"/>
      </top>
      <bottom/>
      <diagonal/>
    </border>
    <border>
      <left style="thin">
        <color rgb="FFC6D2D9"/>
      </left>
      <right style="thin">
        <color rgb="FFC6D2D9"/>
      </right>
      <top style="thin">
        <color rgb="FFC6D2D9"/>
      </top>
      <bottom style="thin">
        <color rgb="FFC6D2D9"/>
      </bottom>
      <diagonal/>
    </border>
    <border>
      <left style="thin">
        <color rgb="FFC6D2D9"/>
      </left>
      <right style="thin">
        <color rgb="FFC6D2D9"/>
      </right>
      <top style="thin">
        <color rgb="FFC6D2D9"/>
      </top>
      <bottom/>
      <diagonal/>
    </border>
    <border>
      <left/>
      <right style="thin">
        <color theme="3" tint="0.59996337778862885"/>
      </right>
      <top style="thin">
        <color rgb="FFC6D2D9"/>
      </top>
      <bottom style="thin">
        <color rgb="FFC6D2D9"/>
      </bottom>
      <diagonal/>
    </border>
    <border>
      <left style="thin">
        <color theme="0" tint="-0.24994659260841701"/>
      </left>
      <right/>
      <top/>
      <bottom/>
      <diagonal/>
    </border>
    <border>
      <left style="double">
        <color theme="3" tint="0.89996032593768116"/>
      </left>
      <right/>
      <top style="double">
        <color theme="3" tint="0.89996032593768116"/>
      </top>
      <bottom/>
      <diagonal/>
    </border>
    <border>
      <left/>
      <right/>
      <top style="double">
        <color theme="3" tint="0.89996032593768116"/>
      </top>
      <bottom/>
      <diagonal/>
    </border>
    <border>
      <left/>
      <right style="double">
        <color theme="3" tint="0.89996032593768116"/>
      </right>
      <top style="double">
        <color theme="3" tint="0.89996032593768116"/>
      </top>
      <bottom/>
      <diagonal/>
    </border>
    <border>
      <left style="double">
        <color theme="3" tint="0.89996032593768116"/>
      </left>
      <right/>
      <top/>
      <bottom/>
      <diagonal/>
    </border>
    <border>
      <left/>
      <right style="double">
        <color theme="3" tint="0.89996032593768116"/>
      </right>
      <top/>
      <bottom/>
      <diagonal/>
    </border>
    <border>
      <left style="double">
        <color theme="3" tint="0.89996032593768116"/>
      </left>
      <right/>
      <top/>
      <bottom style="double">
        <color theme="3" tint="0.89996032593768116"/>
      </bottom>
      <diagonal/>
    </border>
    <border>
      <left/>
      <right/>
      <top/>
      <bottom style="double">
        <color theme="3" tint="0.89996032593768116"/>
      </bottom>
      <diagonal/>
    </border>
    <border>
      <left/>
      <right style="double">
        <color theme="3" tint="0.89996032593768116"/>
      </right>
      <top/>
      <bottom style="double">
        <color theme="3" tint="0.89996032593768116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20" fillId="0" borderId="0"/>
    <xf numFmtId="44" fontId="17" fillId="0" borderId="0"/>
    <xf numFmtId="0" fontId="1" fillId="0" borderId="0"/>
  </cellStyleXfs>
  <cellXfs count="202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Continuous" vertical="center" wrapText="1"/>
    </xf>
    <xf numFmtId="0" fontId="0" fillId="0" borderId="3" xfId="0" applyBorder="1"/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left"/>
    </xf>
    <xf numFmtId="0" fontId="0" fillId="2" borderId="10" xfId="0" applyFill="1" applyBorder="1"/>
    <xf numFmtId="0" fontId="0" fillId="2" borderId="0" xfId="0" applyFill="1"/>
    <xf numFmtId="0" fontId="3" fillId="2" borderId="11" xfId="0" applyFont="1" applyFill="1" applyBorder="1" applyAlignment="1">
      <alignment horizontal="left"/>
    </xf>
    <xf numFmtId="0" fontId="4" fillId="0" borderId="0" xfId="0" applyFont="1"/>
    <xf numFmtId="0" fontId="0" fillId="2" borderId="1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11" fillId="0" borderId="0" xfId="0" applyNumberFormat="1" applyFont="1"/>
    <xf numFmtId="0" fontId="15" fillId="3" borderId="0" xfId="0" applyFont="1" applyFill="1" applyAlignment="1">
      <alignment textRotation="30"/>
    </xf>
    <xf numFmtId="0" fontId="0" fillId="0" borderId="12" xfId="0" applyBorder="1" applyAlignment="1">
      <alignment horizontal="center"/>
    </xf>
    <xf numFmtId="0" fontId="0" fillId="7" borderId="10" xfId="0" applyFill="1" applyBorder="1"/>
    <xf numFmtId="0" fontId="0" fillId="7" borderId="11" xfId="0" applyFill="1" applyBorder="1"/>
    <xf numFmtId="0" fontId="13" fillId="4" borderId="0" xfId="0" applyFont="1" applyFill="1" applyAlignment="1">
      <alignment horizontal="center" vertical="center" textRotation="90"/>
    </xf>
    <xf numFmtId="0" fontId="8" fillId="6" borderId="3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9" fontId="3" fillId="7" borderId="7" xfId="1" applyFont="1" applyFill="1" applyBorder="1" applyAlignment="1">
      <alignment horizontal="center"/>
    </xf>
    <xf numFmtId="9" fontId="3" fillId="7" borderId="9" xfId="1" applyFont="1" applyFill="1" applyBorder="1" applyAlignment="1">
      <alignment horizontal="center"/>
    </xf>
    <xf numFmtId="0" fontId="12" fillId="9" borderId="14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10" borderId="1" xfId="0" applyFont="1" applyFill="1" applyBorder="1" applyAlignment="1">
      <alignment horizontal="center"/>
    </xf>
    <xf numFmtId="0" fontId="19" fillId="5" borderId="27" xfId="0" applyFont="1" applyFill="1" applyBorder="1" applyAlignment="1">
      <alignment horizontal="center"/>
    </xf>
    <xf numFmtId="0" fontId="0" fillId="0" borderId="10" xfId="0" applyFill="1" applyBorder="1"/>
    <xf numFmtId="0" fontId="0" fillId="0" borderId="8" xfId="0" applyFill="1" applyBorder="1"/>
    <xf numFmtId="0" fontId="3" fillId="0" borderId="8" xfId="0" applyFont="1" applyFill="1" applyBorder="1" applyAlignment="1">
      <alignment horizontal="left"/>
    </xf>
    <xf numFmtId="9" fontId="3" fillId="0" borderId="8" xfId="1" applyFont="1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textRotation="90"/>
    </xf>
    <xf numFmtId="0" fontId="14" fillId="0" borderId="0" xfId="0" applyFont="1" applyFill="1" applyBorder="1" applyAlignment="1">
      <alignment horizontal="center" vertical="center" textRotation="90"/>
    </xf>
    <xf numFmtId="9" fontId="3" fillId="0" borderId="10" xfId="1" applyFont="1" applyFill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1" fontId="3" fillId="8" borderId="23" xfId="1" applyNumberFormat="1" applyFont="1" applyFill="1" applyBorder="1" applyAlignment="1">
      <alignment horizontal="center"/>
    </xf>
    <xf numFmtId="0" fontId="4" fillId="5" borderId="0" xfId="0" applyFont="1" applyFill="1"/>
    <xf numFmtId="0" fontId="4" fillId="5" borderId="18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1" fontId="19" fillId="5" borderId="23" xfId="1" applyNumberFormat="1" applyFont="1" applyFill="1" applyBorder="1" applyAlignment="1">
      <alignment horizontal="center"/>
    </xf>
    <xf numFmtId="0" fontId="20" fillId="0" borderId="0" xfId="6"/>
    <xf numFmtId="0" fontId="21" fillId="0" borderId="0" xfId="6" applyFont="1" applyAlignment="1">
      <alignment horizontal="center"/>
    </xf>
    <xf numFmtId="0" fontId="21" fillId="0" borderId="29" xfId="6" applyFont="1" applyBorder="1" applyAlignment="1">
      <alignment horizontal="center"/>
    </xf>
    <xf numFmtId="0" fontId="22" fillId="0" borderId="30" xfId="6" applyFont="1" applyBorder="1"/>
    <xf numFmtId="0" fontId="21" fillId="0" borderId="30" xfId="6" applyFont="1" applyBorder="1" applyAlignment="1">
      <alignment horizontal="center"/>
    </xf>
    <xf numFmtId="0" fontId="20" fillId="0" borderId="30" xfId="6" applyBorder="1"/>
    <xf numFmtId="0" fontId="20" fillId="0" borderId="31" xfId="6" applyBorder="1"/>
    <xf numFmtId="0" fontId="23" fillId="0" borderId="32" xfId="6" applyFont="1" applyBorder="1"/>
    <xf numFmtId="0" fontId="20" fillId="0" borderId="0" xfId="6"/>
    <xf numFmtId="0" fontId="22" fillId="0" borderId="0" xfId="6" applyFont="1"/>
    <xf numFmtId="0" fontId="24" fillId="0" borderId="0" xfId="6" applyFont="1" applyAlignment="1">
      <alignment horizontal="right"/>
    </xf>
    <xf numFmtId="0" fontId="24" fillId="0" borderId="33" xfId="6" applyFont="1" applyBorder="1" applyAlignment="1">
      <alignment horizontal="right"/>
    </xf>
    <xf numFmtId="0" fontId="22" fillId="0" borderId="32" xfId="6" applyFont="1" applyBorder="1"/>
    <xf numFmtId="0" fontId="20" fillId="0" borderId="33" xfId="6" applyBorder="1"/>
    <xf numFmtId="0" fontId="20" fillId="0" borderId="34" xfId="6" applyBorder="1"/>
    <xf numFmtId="0" fontId="20" fillId="0" borderId="35" xfId="6" applyBorder="1"/>
    <xf numFmtId="0" fontId="20" fillId="0" borderId="36" xfId="6" applyBorder="1"/>
    <xf numFmtId="0" fontId="25" fillId="11" borderId="37" xfId="6" applyFont="1" applyFill="1" applyBorder="1" applyAlignment="1">
      <alignment horizontal="center" vertical="center"/>
    </xf>
    <xf numFmtId="0" fontId="22" fillId="0" borderId="38" xfId="6" applyFont="1" applyBorder="1"/>
    <xf numFmtId="0" fontId="22" fillId="0" borderId="39" xfId="6" applyFont="1" applyBorder="1"/>
    <xf numFmtId="0" fontId="22" fillId="0" borderId="40" xfId="6" applyFont="1" applyBorder="1"/>
    <xf numFmtId="0" fontId="22" fillId="0" borderId="41" xfId="6" applyFont="1" applyBorder="1"/>
    <xf numFmtId="0" fontId="23" fillId="0" borderId="37" xfId="6" applyFont="1" applyBorder="1"/>
    <xf numFmtId="0" fontId="26" fillId="0" borderId="0" xfId="6" applyFont="1"/>
    <xf numFmtId="0" fontId="23" fillId="0" borderId="38" xfId="6" applyFont="1" applyBorder="1"/>
    <xf numFmtId="0" fontId="27" fillId="12" borderId="24" xfId="6" applyFont="1" applyFill="1" applyBorder="1" applyAlignment="1">
      <alignment horizontal="center" vertical="center"/>
    </xf>
    <xf numFmtId="0" fontId="22" fillId="0" borderId="26" xfId="6" applyFont="1" applyBorder="1"/>
    <xf numFmtId="0" fontId="27" fillId="13" borderId="24" xfId="6" applyFont="1" applyFill="1" applyBorder="1" applyAlignment="1">
      <alignment horizontal="left" vertical="center"/>
    </xf>
    <xf numFmtId="0" fontId="27" fillId="13" borderId="25" xfId="6" applyFont="1" applyFill="1" applyBorder="1" applyAlignment="1">
      <alignment horizontal="left" vertical="center"/>
    </xf>
    <xf numFmtId="0" fontId="27" fillId="13" borderId="26" xfId="6" applyFont="1" applyFill="1" applyBorder="1" applyAlignment="1">
      <alignment horizontal="left" vertical="center"/>
    </xf>
    <xf numFmtId="0" fontId="28" fillId="0" borderId="0" xfId="6" applyFont="1"/>
    <xf numFmtId="0" fontId="28" fillId="0" borderId="24" xfId="6" applyFont="1" applyBorder="1" applyAlignment="1">
      <alignment horizontal="left"/>
    </xf>
    <xf numFmtId="0" fontId="28" fillId="0" borderId="25" xfId="6" applyFont="1" applyBorder="1" applyAlignment="1">
      <alignment horizontal="left"/>
    </xf>
    <xf numFmtId="0" fontId="22" fillId="0" borderId="26" xfId="6" applyFont="1" applyBorder="1" applyAlignment="1">
      <alignment horizontal="left"/>
    </xf>
    <xf numFmtId="0" fontId="20" fillId="0" borderId="0" xfId="6" applyAlignment="1">
      <alignment horizontal="left"/>
    </xf>
    <xf numFmtId="0" fontId="28" fillId="0" borderId="0" xfId="6" applyFont="1" applyAlignment="1">
      <alignment horizontal="left"/>
    </xf>
    <xf numFmtId="0" fontId="23" fillId="13" borderId="37" xfId="6" applyFont="1" applyFill="1" applyBorder="1"/>
    <xf numFmtId="14" fontId="28" fillId="0" borderId="24" xfId="6" applyNumberFormat="1" applyFont="1" applyBorder="1" applyAlignment="1">
      <alignment horizontal="left"/>
    </xf>
    <xf numFmtId="14" fontId="28" fillId="0" borderId="25" xfId="6" applyNumberFormat="1" applyFont="1" applyBorder="1" applyAlignment="1">
      <alignment horizontal="left"/>
    </xf>
    <xf numFmtId="0" fontId="25" fillId="11" borderId="42" xfId="6" applyFont="1" applyFill="1" applyBorder="1" applyAlignment="1">
      <alignment horizontal="center" vertical="center"/>
    </xf>
    <xf numFmtId="0" fontId="22" fillId="0" borderId="43" xfId="6" applyFont="1" applyBorder="1"/>
    <xf numFmtId="0" fontId="22" fillId="0" borderId="44" xfId="6" applyFont="1" applyBorder="1"/>
    <xf numFmtId="0" fontId="21" fillId="12" borderId="24" xfId="6" applyFont="1" applyFill="1" applyBorder="1" applyAlignment="1">
      <alignment horizontal="center" vertical="center"/>
    </xf>
    <xf numFmtId="0" fontId="22" fillId="0" borderId="25" xfId="6" applyFont="1" applyBorder="1"/>
    <xf numFmtId="0" fontId="29" fillId="12" borderId="42" xfId="6" applyFont="1" applyFill="1" applyBorder="1" applyAlignment="1">
      <alignment horizontal="center" vertical="center"/>
    </xf>
    <xf numFmtId="0" fontId="29" fillId="12" borderId="43" xfId="6" applyFont="1" applyFill="1" applyBorder="1" applyAlignment="1">
      <alignment horizontal="center" vertical="center"/>
    </xf>
    <xf numFmtId="0" fontId="29" fillId="12" borderId="44" xfId="6" applyFont="1" applyFill="1" applyBorder="1" applyAlignment="1">
      <alignment horizontal="center" vertical="center"/>
    </xf>
    <xf numFmtId="0" fontId="27" fillId="0" borderId="45" xfId="6" applyFont="1" applyBorder="1" applyAlignment="1">
      <alignment horizontal="center" vertical="center"/>
    </xf>
    <xf numFmtId="0" fontId="27" fillId="0" borderId="26" xfId="6" applyFont="1" applyBorder="1" applyAlignment="1">
      <alignment horizontal="center" vertical="center"/>
    </xf>
    <xf numFmtId="0" fontId="30" fillId="0" borderId="39" xfId="6" applyFont="1" applyBorder="1" applyAlignment="1">
      <alignment horizontal="center" vertical="center"/>
    </xf>
    <xf numFmtId="0" fontId="30" fillId="0" borderId="41" xfId="6" applyFont="1" applyBorder="1" applyAlignment="1">
      <alignment horizontal="center" vertical="center"/>
    </xf>
    <xf numFmtId="0" fontId="27" fillId="0" borderId="45" xfId="6" applyFont="1" applyBorder="1" applyAlignment="1">
      <alignment horizontal="center" vertical="center" wrapText="1"/>
    </xf>
    <xf numFmtId="44" fontId="17" fillId="14" borderId="45" xfId="7" applyFill="1" applyBorder="1" applyAlignment="1">
      <alignment vertical="center"/>
    </xf>
    <xf numFmtId="44" fontId="17" fillId="0" borderId="45" xfId="7" applyBorder="1" applyAlignment="1">
      <alignment vertical="center"/>
    </xf>
    <xf numFmtId="0" fontId="28" fillId="14" borderId="45" xfId="6" applyFont="1" applyFill="1" applyBorder="1" applyAlignment="1">
      <alignment horizontal="center" vertical="center"/>
    </xf>
    <xf numFmtId="14" fontId="28" fillId="0" borderId="45" xfId="6" applyNumberFormat="1" applyFont="1" applyBorder="1" applyAlignment="1">
      <alignment vertical="center"/>
    </xf>
    <xf numFmtId="0" fontId="27" fillId="0" borderId="24" xfId="6" applyFont="1" applyBorder="1" applyAlignment="1">
      <alignment horizontal="center" vertical="center"/>
    </xf>
    <xf numFmtId="44" fontId="17" fillId="0" borderId="45" xfId="7" applyBorder="1"/>
    <xf numFmtId="44" fontId="17" fillId="0" borderId="45" xfId="7" applyBorder="1" applyAlignment="1">
      <alignment horizontal="center"/>
    </xf>
    <xf numFmtId="44" fontId="31" fillId="0" borderId="24" xfId="7" applyFont="1" applyBorder="1" applyAlignment="1">
      <alignment horizontal="center" vertical="center"/>
    </xf>
    <xf numFmtId="44" fontId="31" fillId="0" borderId="26" xfId="7" applyFont="1" applyBorder="1" applyAlignment="1">
      <alignment horizontal="center" vertical="center"/>
    </xf>
    <xf numFmtId="44" fontId="31" fillId="0" borderId="45" xfId="7" applyFont="1" applyBorder="1" applyAlignment="1">
      <alignment horizontal="center" vertical="center"/>
    </xf>
    <xf numFmtId="14" fontId="21" fillId="0" borderId="45" xfId="6" applyNumberFormat="1" applyFont="1" applyBorder="1" applyAlignment="1">
      <alignment horizontal="center" vertical="center"/>
    </xf>
    <xf numFmtId="0" fontId="27" fillId="0" borderId="24" xfId="6" applyFont="1" applyBorder="1" applyAlignment="1">
      <alignment horizontal="center" vertical="center" wrapText="1"/>
    </xf>
    <xf numFmtId="0" fontId="22" fillId="0" borderId="26" xfId="6" applyFont="1" applyBorder="1" applyAlignment="1">
      <alignment wrapText="1"/>
    </xf>
    <xf numFmtId="44" fontId="17" fillId="0" borderId="24" xfId="7" applyBorder="1" applyAlignment="1">
      <alignment horizontal="left" vertical="center"/>
    </xf>
    <xf numFmtId="44" fontId="17" fillId="0" borderId="25" xfId="7" applyBorder="1" applyAlignment="1">
      <alignment horizontal="left" vertical="center"/>
    </xf>
    <xf numFmtId="0" fontId="29" fillId="12" borderId="25" xfId="6" applyFont="1" applyFill="1" applyBorder="1" applyAlignment="1">
      <alignment horizontal="center" vertical="center"/>
    </xf>
    <xf numFmtId="0" fontId="29" fillId="12" borderId="26" xfId="6" applyFont="1" applyFill="1" applyBorder="1" applyAlignment="1">
      <alignment horizontal="center" vertical="center"/>
    </xf>
    <xf numFmtId="0" fontId="1" fillId="0" borderId="24" xfId="8" applyBorder="1" applyAlignment="1">
      <alignment horizontal="left"/>
    </xf>
    <xf numFmtId="0" fontId="1" fillId="0" borderId="26" xfId="8" applyBorder="1" applyAlignment="1">
      <alignment horizontal="left"/>
    </xf>
    <xf numFmtId="44" fontId="17" fillId="14" borderId="45" xfId="7" applyFill="1" applyBorder="1"/>
    <xf numFmtId="44" fontId="17" fillId="0" borderId="24" xfId="7" applyBorder="1" applyAlignment="1">
      <alignment horizontal="left" vertical="center" wrapText="1"/>
    </xf>
    <xf numFmtId="44" fontId="17" fillId="0" borderId="25" xfId="7" applyBorder="1" applyAlignment="1">
      <alignment horizontal="left" vertical="center" wrapText="1"/>
    </xf>
    <xf numFmtId="1" fontId="17" fillId="0" borderId="45" xfId="7" applyNumberFormat="1" applyBorder="1" applyAlignment="1">
      <alignment horizontal="center" vertical="center"/>
    </xf>
    <xf numFmtId="0" fontId="1" fillId="0" borderId="24" xfId="8" applyBorder="1" applyAlignment="1">
      <alignment horizontal="left" vertical="center"/>
    </xf>
    <xf numFmtId="0" fontId="1" fillId="0" borderId="26" xfId="8" applyBorder="1" applyAlignment="1">
      <alignment horizontal="left" vertical="center"/>
    </xf>
    <xf numFmtId="1" fontId="28" fillId="0" borderId="45" xfId="6" applyNumberFormat="1" applyFont="1" applyBorder="1" applyAlignment="1">
      <alignment horizontal="center" vertical="center"/>
    </xf>
    <xf numFmtId="0" fontId="21" fillId="12" borderId="25" xfId="6" applyFont="1" applyFill="1" applyBorder="1" applyAlignment="1">
      <alignment horizontal="center" vertical="center"/>
    </xf>
    <xf numFmtId="0" fontId="21" fillId="12" borderId="26" xfId="6" applyFont="1" applyFill="1" applyBorder="1" applyAlignment="1">
      <alignment horizontal="center" vertical="center"/>
    </xf>
    <xf numFmtId="44" fontId="17" fillId="0" borderId="24" xfId="7" applyBorder="1" applyAlignment="1">
      <alignment horizontal="left" vertical="center"/>
    </xf>
    <xf numFmtId="44" fontId="17" fillId="0" borderId="25" xfId="7" applyBorder="1" applyAlignment="1">
      <alignment horizontal="left" vertical="center"/>
    </xf>
    <xf numFmtId="44" fontId="17" fillId="0" borderId="46" xfId="7" applyBorder="1"/>
    <xf numFmtId="0" fontId="27" fillId="0" borderId="0" xfId="6" applyFont="1" applyAlignment="1">
      <alignment horizontal="center" vertical="center"/>
    </xf>
    <xf numFmtId="0" fontId="28" fillId="0" borderId="43" xfId="6" applyFont="1" applyBorder="1"/>
    <xf numFmtId="44" fontId="17" fillId="0" borderId="43" xfId="7" applyBorder="1" applyAlignment="1">
      <alignment vertical="center"/>
    </xf>
    <xf numFmtId="0" fontId="28" fillId="0" borderId="43" xfId="6" applyFont="1" applyBorder="1" applyAlignment="1">
      <alignment horizontal="center" vertical="center"/>
    </xf>
    <xf numFmtId="14" fontId="28" fillId="0" borderId="43" xfId="6" applyNumberFormat="1" applyFont="1" applyBorder="1" applyAlignment="1">
      <alignment vertical="center"/>
    </xf>
    <xf numFmtId="0" fontId="21" fillId="12" borderId="39" xfId="6" applyFont="1" applyFill="1" applyBorder="1" applyAlignment="1">
      <alignment horizontal="center" vertical="center"/>
    </xf>
    <xf numFmtId="0" fontId="21" fillId="12" borderId="40" xfId="6" applyFont="1" applyFill="1" applyBorder="1" applyAlignment="1">
      <alignment horizontal="center" vertical="center"/>
    </xf>
    <xf numFmtId="44" fontId="31" fillId="0" borderId="45" xfId="7" applyFont="1" applyBorder="1" applyAlignment="1">
      <alignment vertical="center"/>
    </xf>
    <xf numFmtId="165" fontId="17" fillId="14" borderId="45" xfId="7" applyNumberFormat="1" applyFill="1" applyBorder="1" applyAlignment="1">
      <alignment horizontal="center" vertical="center"/>
    </xf>
    <xf numFmtId="0" fontId="21" fillId="15" borderId="40" xfId="6" applyFont="1" applyFill="1" applyBorder="1" applyAlignment="1">
      <alignment horizontal="center" vertical="center"/>
    </xf>
    <xf numFmtId="44" fontId="21" fillId="0" borderId="24" xfId="6" applyNumberFormat="1" applyFont="1" applyBorder="1" applyAlignment="1">
      <alignment horizontal="center" vertical="center"/>
    </xf>
    <xf numFmtId="44" fontId="21" fillId="0" borderId="26" xfId="6" applyNumberFormat="1" applyFont="1" applyBorder="1" applyAlignment="1">
      <alignment horizontal="center" vertical="center"/>
    </xf>
    <xf numFmtId="0" fontId="28" fillId="13" borderId="0" xfId="6" applyFont="1" applyFill="1" applyAlignment="1">
      <alignment vertical="center"/>
    </xf>
    <xf numFmtId="0" fontId="29" fillId="15" borderId="24" xfId="6" applyFont="1" applyFill="1" applyBorder="1" applyAlignment="1">
      <alignment horizontal="center" vertical="center"/>
    </xf>
    <xf numFmtId="0" fontId="32" fillId="0" borderId="26" xfId="6" applyFont="1" applyBorder="1"/>
    <xf numFmtId="44" fontId="33" fillId="0" borderId="24" xfId="7" applyFont="1" applyBorder="1" applyAlignment="1">
      <alignment horizontal="center"/>
    </xf>
    <xf numFmtId="44" fontId="33" fillId="0" borderId="25" xfId="7" applyFont="1" applyBorder="1" applyAlignment="1">
      <alignment horizontal="center"/>
    </xf>
    <xf numFmtId="44" fontId="33" fillId="0" borderId="47" xfId="7" applyFont="1" applyBorder="1" applyAlignment="1">
      <alignment horizontal="center"/>
    </xf>
    <xf numFmtId="0" fontId="23" fillId="16" borderId="48" xfId="6" applyFont="1" applyFill="1" applyBorder="1"/>
    <xf numFmtId="0" fontId="34" fillId="16" borderId="49" xfId="6" applyFont="1" applyFill="1" applyBorder="1" applyAlignment="1">
      <alignment horizontal="left"/>
    </xf>
    <xf numFmtId="0" fontId="34" fillId="16" borderId="50" xfId="6" applyFont="1" applyFill="1" applyBorder="1" applyAlignment="1">
      <alignment horizontal="left"/>
    </xf>
    <xf numFmtId="0" fontId="20" fillId="0" borderId="50" xfId="6" applyBorder="1"/>
    <xf numFmtId="0" fontId="20" fillId="0" borderId="51" xfId="6" applyBorder="1"/>
    <xf numFmtId="0" fontId="21" fillId="15" borderId="24" xfId="6" applyFont="1" applyFill="1" applyBorder="1" applyAlignment="1">
      <alignment horizontal="center" vertical="center"/>
    </xf>
    <xf numFmtId="0" fontId="20" fillId="16" borderId="52" xfId="6" applyFill="1" applyBorder="1" applyAlignment="1">
      <alignment horizontal="center"/>
    </xf>
    <xf numFmtId="0" fontId="20" fillId="16" borderId="0" xfId="6" applyFill="1" applyAlignment="1">
      <alignment horizontal="center"/>
    </xf>
    <xf numFmtId="0" fontId="20" fillId="16" borderId="53" xfId="6" applyFill="1" applyBorder="1" applyAlignment="1">
      <alignment horizontal="center"/>
    </xf>
    <xf numFmtId="44" fontId="21" fillId="0" borderId="24" xfId="6" applyNumberFormat="1" applyFont="1" applyBorder="1" applyAlignment="1">
      <alignment horizontal="center"/>
    </xf>
    <xf numFmtId="44" fontId="21" fillId="0" borderId="26" xfId="6" applyNumberFormat="1" applyFont="1" applyBorder="1" applyAlignment="1">
      <alignment horizontal="center"/>
    </xf>
    <xf numFmtId="0" fontId="35" fillId="12" borderId="24" xfId="6" applyFont="1" applyFill="1" applyBorder="1" applyAlignment="1">
      <alignment horizontal="center" vertical="center"/>
    </xf>
    <xf numFmtId="44" fontId="33" fillId="0" borderId="26" xfId="7" applyFont="1" applyBorder="1" applyAlignment="1">
      <alignment horizontal="center"/>
    </xf>
    <xf numFmtId="0" fontId="20" fillId="0" borderId="52" xfId="6" applyBorder="1"/>
    <xf numFmtId="0" fontId="20" fillId="0" borderId="53" xfId="6" applyBorder="1"/>
    <xf numFmtId="0" fontId="36" fillId="17" borderId="24" xfId="6" applyFont="1" applyFill="1" applyBorder="1" applyAlignment="1">
      <alignment horizontal="center" vertical="center"/>
    </xf>
    <xf numFmtId="0" fontId="20" fillId="0" borderId="54" xfId="6" applyBorder="1"/>
    <xf numFmtId="0" fontId="20" fillId="0" borderId="55" xfId="6" applyBorder="1"/>
    <xf numFmtId="0" fontId="20" fillId="0" borderId="56" xfId="6" applyBorder="1"/>
    <xf numFmtId="44" fontId="37" fillId="0" borderId="24" xfId="6" applyNumberFormat="1" applyFont="1" applyBorder="1" applyAlignment="1">
      <alignment horizontal="center"/>
    </xf>
    <xf numFmtId="44" fontId="37" fillId="0" borderId="25" xfId="6" applyNumberFormat="1" applyFont="1" applyBorder="1" applyAlignment="1">
      <alignment horizontal="center"/>
    </xf>
    <xf numFmtId="44" fontId="37" fillId="0" borderId="26" xfId="6" applyNumberFormat="1" applyFont="1" applyBorder="1" applyAlignment="1">
      <alignment horizontal="center"/>
    </xf>
    <xf numFmtId="0" fontId="23" fillId="0" borderId="39" xfId="6" applyFont="1" applyBorder="1"/>
    <xf numFmtId="0" fontId="23" fillId="0" borderId="40" xfId="6" applyFont="1" applyBorder="1"/>
    <xf numFmtId="0" fontId="23" fillId="0" borderId="41" xfId="6" applyFont="1" applyBorder="1"/>
    <xf numFmtId="1" fontId="28" fillId="14" borderId="45" xfId="6" applyNumberFormat="1" applyFont="1" applyFill="1" applyBorder="1" applyAlignment="1">
      <alignment horizontal="center" vertical="center"/>
    </xf>
    <xf numFmtId="1" fontId="28" fillId="14" borderId="46" xfId="6" applyNumberFormat="1" applyFont="1" applyFill="1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44" fontId="2" fillId="0" borderId="2" xfId="5" applyBorder="1" applyAlignment="1">
      <alignment horizontal="left" vertical="center"/>
    </xf>
    <xf numFmtId="44" fontId="2" fillId="0" borderId="2" xfId="5" applyBorder="1" applyAlignment="1">
      <alignment horizontal="left" vertical="center"/>
    </xf>
    <xf numFmtId="0" fontId="19" fillId="5" borderId="59" xfId="0" applyFont="1" applyFill="1" applyBorder="1" applyAlignment="1">
      <alignment horizontal="center"/>
    </xf>
    <xf numFmtId="0" fontId="6" fillId="0" borderId="60" xfId="0" applyFont="1" applyBorder="1"/>
    <xf numFmtId="0" fontId="0" fillId="0" borderId="28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28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8" xfId="0" applyFill="1" applyBorder="1" applyAlignment="1">
      <alignment horizontal="center"/>
    </xf>
  </cellXfs>
  <cellStyles count="9">
    <cellStyle name="Hipervínculo 2" xfId="4" xr:uid="{7CB2EF18-26D9-491D-9882-5C9DC12095B1}"/>
    <cellStyle name="Moneda" xfId="5" builtinId="4"/>
    <cellStyle name="Moneda 2" xfId="7" xr:uid="{E17A6A49-24F6-49C6-9A25-293B029F59AE}"/>
    <cellStyle name="Normal" xfId="0" builtinId="0"/>
    <cellStyle name="Normal 2" xfId="2" xr:uid="{B998CF31-103D-4B22-A824-0CF0F7CC0270}"/>
    <cellStyle name="Normal 2 2" xfId="6" xr:uid="{F0B9D3F4-8F83-42FD-99B1-DCC6C3AA953F}"/>
    <cellStyle name="Normal 3" xfId="3" xr:uid="{FC4018D6-F2B0-46CB-A89F-5BF20BD84CA0}"/>
    <cellStyle name="Normal 4" xfId="8" xr:uid="{29551A10-512E-4FAE-8FAA-E1723428B56F}"/>
    <cellStyle name="Porcentaje" xfId="1" builtinId="5"/>
  </cellStyles>
  <dxfs count="3">
    <dxf>
      <fill>
        <patternFill>
          <bgColor theme="2" tint="-0.49998474074526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136E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186266</xdr:colOff>
      <xdr:row>0</xdr:row>
      <xdr:rowOff>160867</xdr:rowOff>
    </xdr:from>
    <xdr:ext cx="1666875" cy="1602521"/>
    <xdr:pic>
      <xdr:nvPicPr>
        <xdr:cNvPr id="2" name="Imagen 1">
          <a:extLst>
            <a:ext uri="{FF2B5EF4-FFF2-40B4-BE49-F238E27FC236}">
              <a16:creationId xmlns:a16="http://schemas.microsoft.com/office/drawing/2014/main" id="{E249F20B-790F-4726-91F2-F85A62012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399" y="160867"/>
          <a:ext cx="1666875" cy="160252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192405</xdr:colOff>
      <xdr:row>0</xdr:row>
      <xdr:rowOff>196215</xdr:rowOff>
    </xdr:from>
    <xdr:ext cx="1666875" cy="1602521"/>
    <xdr:pic>
      <xdr:nvPicPr>
        <xdr:cNvPr id="2" name="Imagen 1">
          <a:extLst>
            <a:ext uri="{FF2B5EF4-FFF2-40B4-BE49-F238E27FC236}">
              <a16:creationId xmlns:a16="http://schemas.microsoft.com/office/drawing/2014/main" id="{2EB9B980-3640-4118-9D8B-3049F2B3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196215"/>
          <a:ext cx="1666875" cy="160252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43B4-8D9D-4EDE-8E2C-420F88A5D98D}">
  <sheetPr>
    <tabColor rgb="FF136E42"/>
  </sheetPr>
  <dimension ref="A1:AN52"/>
  <sheetViews>
    <sheetView showGridLines="0" showRowColHeaders="0" tabSelected="1" zoomScale="90" zoomScaleNormal="90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R42" sqref="R42"/>
    </sheetView>
  </sheetViews>
  <sheetFormatPr baseColWidth="10" defaultColWidth="0" defaultRowHeight="13.8"/>
  <cols>
    <col min="1" max="1" width="1.19921875" customWidth="1"/>
    <col min="2" max="2" width="14.5" customWidth="1"/>
    <col min="3" max="3" width="33.5" customWidth="1"/>
    <col min="4" max="4" width="0.69921875" customWidth="1"/>
    <col min="5" max="21" width="4.09765625" customWidth="1"/>
    <col min="22" max="22" width="4.19921875" customWidth="1"/>
    <col min="23" max="35" width="4.09765625" customWidth="1"/>
    <col min="36" max="36" width="5" customWidth="1"/>
    <col min="37" max="39" width="4.59765625" customWidth="1"/>
    <col min="40" max="40" width="1.69921875" customWidth="1"/>
    <col min="41" max="16384" width="11" hidden="1"/>
  </cols>
  <sheetData>
    <row r="1" spans="2:39" ht="15" customHeight="1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2:39" ht="15.6">
      <c r="Z2" s="34" t="s">
        <v>106</v>
      </c>
      <c r="AA2" s="35"/>
      <c r="AB2" s="35"/>
      <c r="AC2" s="35"/>
      <c r="AD2" s="36"/>
      <c r="AE2" s="16" t="s">
        <v>22</v>
      </c>
      <c r="AF2" s="17"/>
    </row>
    <row r="3" spans="2:39" ht="30" customHeight="1">
      <c r="B3" s="33"/>
      <c r="C3" s="1" t="s">
        <v>0</v>
      </c>
      <c r="E3" s="4" t="s">
        <v>23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Z3" s="7" t="s">
        <v>107</v>
      </c>
      <c r="AA3" s="8"/>
      <c r="AB3" s="8"/>
      <c r="AC3" s="9">
        <v>1</v>
      </c>
      <c r="AD3" s="28">
        <v>1</v>
      </c>
      <c r="AE3" s="37">
        <f>+AVERAGE(AJ:AJ)</f>
        <v>0.68965517241379315</v>
      </c>
      <c r="AF3" s="38"/>
    </row>
    <row r="4" spans="2:39" ht="3" customHeight="1">
      <c r="B4" s="33"/>
      <c r="C4" s="1"/>
      <c r="Z4" s="10"/>
      <c r="AA4" s="11"/>
      <c r="AB4" s="11"/>
      <c r="AC4" s="12"/>
      <c r="AD4" s="14"/>
      <c r="AE4" s="29"/>
      <c r="AF4" s="30"/>
    </row>
    <row r="5" spans="2:39">
      <c r="B5" s="33"/>
      <c r="C5" s="1" t="s">
        <v>58</v>
      </c>
      <c r="E5" s="4" t="s">
        <v>24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13"/>
      <c r="W5" s="13"/>
      <c r="X5" s="13"/>
      <c r="Z5" s="45"/>
      <c r="AA5" s="45"/>
      <c r="AB5" s="45"/>
      <c r="AC5" s="46"/>
      <c r="AD5" s="201"/>
      <c r="AE5" s="47"/>
      <c r="AF5" s="47"/>
    </row>
    <row r="6" spans="2:39" ht="3" customHeight="1">
      <c r="C6" s="1"/>
      <c r="V6" s="13"/>
      <c r="W6" s="13"/>
      <c r="X6" s="13"/>
      <c r="Z6" s="48"/>
      <c r="AA6" s="48"/>
      <c r="AB6" s="48"/>
      <c r="AC6" s="49"/>
      <c r="AD6" s="50"/>
      <c r="AE6" s="48"/>
      <c r="AF6" s="48"/>
    </row>
    <row r="7" spans="2:39" ht="15">
      <c r="C7" s="1" t="s">
        <v>57</v>
      </c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 t="s">
        <v>5</v>
      </c>
      <c r="R7" s="6"/>
      <c r="S7" s="32">
        <v>2025</v>
      </c>
      <c r="T7" s="32"/>
      <c r="U7" s="32"/>
      <c r="V7" s="26">
        <f>+EOMONTH(E11,0)</f>
        <v>45991</v>
      </c>
      <c r="W7" s="13">
        <f>+COUNTIF($E$12:$AI$12,"S")+COUNTIF($E$12:$AI$12,"D")</f>
        <v>10</v>
      </c>
      <c r="X7" s="13"/>
      <c r="Z7" s="48"/>
      <c r="AA7" s="48"/>
      <c r="AB7" s="48"/>
      <c r="AC7" s="49"/>
      <c r="AD7" s="51"/>
      <c r="AE7" s="52"/>
      <c r="AF7" s="52"/>
    </row>
    <row r="8" spans="2:39" ht="3" customHeight="1">
      <c r="C8" s="1"/>
      <c r="V8" s="13"/>
      <c r="W8" s="13"/>
      <c r="X8" s="13"/>
      <c r="Z8" s="48"/>
      <c r="AA8" s="48"/>
      <c r="AB8" s="48"/>
      <c r="AC8" s="49"/>
      <c r="AD8" s="50"/>
      <c r="AE8" s="48"/>
      <c r="AF8" s="48"/>
    </row>
    <row r="9" spans="2:39" ht="15">
      <c r="C9" s="1" t="s">
        <v>56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Q9" s="5" t="s">
        <v>1</v>
      </c>
      <c r="R9" s="6"/>
      <c r="S9" s="32" t="s">
        <v>15</v>
      </c>
      <c r="T9" s="32"/>
      <c r="U9" s="32"/>
      <c r="V9" s="13">
        <f>+VLOOKUP(S9,Hoja2!$A$1:$B$12,2,FALSE)</f>
        <v>11</v>
      </c>
      <c r="W9" s="13">
        <f>+DAY(V7)</f>
        <v>30</v>
      </c>
      <c r="X9" s="13"/>
      <c r="Z9" s="48"/>
      <c r="AA9" s="48"/>
      <c r="AB9" s="48"/>
      <c r="AC9" s="49"/>
      <c r="AD9" s="51"/>
      <c r="AE9" s="52"/>
      <c r="AF9" s="52"/>
    </row>
    <row r="10" spans="2:39" ht="9" customHeight="1">
      <c r="AJ10" s="13"/>
      <c r="AK10" s="13">
        <v>0</v>
      </c>
      <c r="AL10" s="13" t="s">
        <v>3</v>
      </c>
      <c r="AM10" s="13" t="s">
        <v>4</v>
      </c>
    </row>
    <row r="11" spans="2:39" s="13" customFormat="1" ht="10.5" customHeight="1">
      <c r="E11" s="27" t="str">
        <f>+E13&amp;"/"&amp;$V$9&amp;"/"&amp;$S$7</f>
        <v>1/11/2025</v>
      </c>
      <c r="F11" s="27" t="str">
        <f t="shared" ref="F11:AI11" si="0">+F13&amp;"/"&amp;$V$9&amp;"/"&amp;$S$7</f>
        <v>2/11/2025</v>
      </c>
      <c r="G11" s="27" t="str">
        <f t="shared" si="0"/>
        <v>3/11/2025</v>
      </c>
      <c r="H11" s="27" t="str">
        <f t="shared" si="0"/>
        <v>4/11/2025</v>
      </c>
      <c r="I11" s="27" t="str">
        <f t="shared" si="0"/>
        <v>5/11/2025</v>
      </c>
      <c r="J11" s="27" t="str">
        <f t="shared" si="0"/>
        <v>6/11/2025</v>
      </c>
      <c r="K11" s="27" t="str">
        <f t="shared" si="0"/>
        <v>7/11/2025</v>
      </c>
      <c r="L11" s="27" t="str">
        <f t="shared" si="0"/>
        <v>8/11/2025</v>
      </c>
      <c r="M11" s="27" t="str">
        <f t="shared" si="0"/>
        <v>9/11/2025</v>
      </c>
      <c r="N11" s="27" t="str">
        <f t="shared" si="0"/>
        <v>10/11/2025</v>
      </c>
      <c r="O11" s="27" t="str">
        <f t="shared" si="0"/>
        <v>11/11/2025</v>
      </c>
      <c r="P11" s="27" t="str">
        <f t="shared" si="0"/>
        <v>12/11/2025</v>
      </c>
      <c r="Q11" s="27" t="str">
        <f t="shared" si="0"/>
        <v>13/11/2025</v>
      </c>
      <c r="R11" s="27" t="str">
        <f t="shared" si="0"/>
        <v>14/11/2025</v>
      </c>
      <c r="S11" s="27" t="str">
        <f t="shared" si="0"/>
        <v>15/11/2025</v>
      </c>
      <c r="T11" s="27" t="str">
        <f t="shared" si="0"/>
        <v>16/11/2025</v>
      </c>
      <c r="U11" s="27" t="str">
        <f t="shared" si="0"/>
        <v>17/11/2025</v>
      </c>
      <c r="V11" s="27" t="str">
        <f t="shared" si="0"/>
        <v>18/11/2025</v>
      </c>
      <c r="W11" s="27" t="str">
        <f t="shared" si="0"/>
        <v>19/11/2025</v>
      </c>
      <c r="X11" s="27" t="str">
        <f t="shared" si="0"/>
        <v>20/11/2025</v>
      </c>
      <c r="Y11" s="27" t="str">
        <f t="shared" si="0"/>
        <v>21/11/2025</v>
      </c>
      <c r="Z11" s="27" t="str">
        <f t="shared" si="0"/>
        <v>22/11/2025</v>
      </c>
      <c r="AA11" s="27" t="str">
        <f t="shared" si="0"/>
        <v>23/11/2025</v>
      </c>
      <c r="AB11" s="27" t="str">
        <f t="shared" si="0"/>
        <v>24/11/2025</v>
      </c>
      <c r="AC11" s="27" t="str">
        <f t="shared" si="0"/>
        <v>25/11/2025</v>
      </c>
      <c r="AD11" s="27" t="str">
        <f t="shared" si="0"/>
        <v>26/11/2025</v>
      </c>
      <c r="AE11" s="27" t="str">
        <f t="shared" si="0"/>
        <v>27/11/2025</v>
      </c>
      <c r="AF11" s="27" t="str">
        <f t="shared" si="0"/>
        <v>28/11/2025</v>
      </c>
      <c r="AG11" s="27" t="str">
        <f t="shared" si="0"/>
        <v>29/11/2025</v>
      </c>
      <c r="AH11" s="27" t="str">
        <f t="shared" si="0"/>
        <v>30/11/2025</v>
      </c>
      <c r="AI11" s="27" t="str">
        <f t="shared" si="0"/>
        <v>/11/2025</v>
      </c>
      <c r="AJ11" s="31" t="s">
        <v>107</v>
      </c>
      <c r="AK11" s="53"/>
      <c r="AL11" s="54"/>
    </row>
    <row r="12" spans="2:39" ht="17.25" customHeight="1">
      <c r="E12" s="42" t="str">
        <f>+IFERROR(VLOOKUP(WEEKDAY(E11,2),Hoja2!$D$1:$E$7,2,FALSE),"")</f>
        <v>S</v>
      </c>
      <c r="F12" s="42" t="str">
        <f>+IFERROR(VLOOKUP(WEEKDAY(F11,2),Hoja2!$D$1:$E$7,2,FALSE),"")</f>
        <v>D</v>
      </c>
      <c r="G12" s="42" t="str">
        <f>+IFERROR(VLOOKUP(WEEKDAY(G11,2),Hoja2!$D$1:$E$7,2,FALSE),"")</f>
        <v>L</v>
      </c>
      <c r="H12" s="42" t="str">
        <f>+IFERROR(VLOOKUP(WEEKDAY(H11,2),Hoja2!$D$1:$E$7,2,FALSE),"")</f>
        <v>M</v>
      </c>
      <c r="I12" s="42" t="str">
        <f>+IFERROR(VLOOKUP(WEEKDAY(I11,2),Hoja2!$D$1:$E$7,2,FALSE),"")</f>
        <v>M</v>
      </c>
      <c r="J12" s="42" t="str">
        <f>+IFERROR(VLOOKUP(WEEKDAY(J11,2),Hoja2!$D$1:$E$7,2,FALSE),"")</f>
        <v>J</v>
      </c>
      <c r="K12" s="42" t="str">
        <f>+IFERROR(VLOOKUP(WEEKDAY(K11,2),Hoja2!$D$1:$E$7,2,FALSE),"")</f>
        <v>V</v>
      </c>
      <c r="L12" s="42" t="str">
        <f>+IFERROR(VLOOKUP(WEEKDAY(L11,2),Hoja2!$D$1:$E$7,2,FALSE),"")</f>
        <v>S</v>
      </c>
      <c r="M12" s="42" t="str">
        <f>+IFERROR(VLOOKUP(WEEKDAY(M11,2),Hoja2!$D$1:$E$7,2,FALSE),"")</f>
        <v>D</v>
      </c>
      <c r="N12" s="42" t="str">
        <f>+IFERROR(VLOOKUP(WEEKDAY(N11,2),Hoja2!$D$1:$E$7,2,FALSE),"")</f>
        <v>L</v>
      </c>
      <c r="O12" s="42" t="str">
        <f>+IFERROR(VLOOKUP(WEEKDAY(O11,2),Hoja2!$D$1:$E$7,2,FALSE),"")</f>
        <v>M</v>
      </c>
      <c r="P12" s="42" t="str">
        <f>+IFERROR(VLOOKUP(WEEKDAY(P11,2),Hoja2!$D$1:$E$7,2,FALSE),"")</f>
        <v>M</v>
      </c>
      <c r="Q12" s="42" t="str">
        <f>+IFERROR(VLOOKUP(WEEKDAY(Q11,2),Hoja2!$D$1:$E$7,2,FALSE),"")</f>
        <v>J</v>
      </c>
      <c r="R12" s="42" t="str">
        <f>+IFERROR(VLOOKUP(WEEKDAY(R11,2),Hoja2!$D$1:$E$7,2,FALSE),"")</f>
        <v>V</v>
      </c>
      <c r="S12" s="42" t="str">
        <f>+IFERROR(VLOOKUP(WEEKDAY(S11,2),Hoja2!$D$1:$E$7,2,FALSE),"")</f>
        <v>S</v>
      </c>
      <c r="T12" s="42" t="str">
        <f>+IFERROR(VLOOKUP(WEEKDAY(T11,2),Hoja2!$D$1:$E$7,2,FALSE),"")</f>
        <v>D</v>
      </c>
      <c r="U12" s="42" t="str">
        <f>+IFERROR(VLOOKUP(WEEKDAY(U11,2),Hoja2!$D$1:$E$7,2,FALSE),"")</f>
        <v>L</v>
      </c>
      <c r="V12" s="42" t="str">
        <f>+IFERROR(VLOOKUP(WEEKDAY(V11,2),Hoja2!$D$1:$E$7,2,FALSE),"")</f>
        <v>M</v>
      </c>
      <c r="W12" s="42" t="str">
        <f>+IFERROR(VLOOKUP(WEEKDAY(W11,2),Hoja2!$D$1:$E$7,2,FALSE),"")</f>
        <v>M</v>
      </c>
      <c r="X12" s="42" t="str">
        <f>+IFERROR(VLOOKUP(WEEKDAY(X11,2),Hoja2!$D$1:$E$7,2,FALSE),"")</f>
        <v>J</v>
      </c>
      <c r="Y12" s="42" t="str">
        <f>+IFERROR(VLOOKUP(WEEKDAY(Y11,2),Hoja2!$D$1:$E$7,2,FALSE),"")</f>
        <v>V</v>
      </c>
      <c r="Z12" s="42" t="str">
        <f>+IFERROR(VLOOKUP(WEEKDAY(Z11,2),Hoja2!$D$1:$E$7,2,FALSE),"")</f>
        <v>S</v>
      </c>
      <c r="AA12" s="42" t="str">
        <f>+IFERROR(VLOOKUP(WEEKDAY(AA11,2),Hoja2!$D$1:$E$7,2,FALSE),"")</f>
        <v>D</v>
      </c>
      <c r="AB12" s="42" t="str">
        <f>+IFERROR(VLOOKUP(WEEKDAY(AB11,2),Hoja2!$D$1:$E$7,2,FALSE),"")</f>
        <v>L</v>
      </c>
      <c r="AC12" s="42" t="str">
        <f>+IFERROR(VLOOKUP(WEEKDAY(AC11,2),Hoja2!$D$1:$E$7,2,FALSE),"")</f>
        <v>M</v>
      </c>
      <c r="AD12" s="42" t="str">
        <f>+IFERROR(VLOOKUP(WEEKDAY(AD11,2),Hoja2!$D$1:$E$7,2,FALSE),"")</f>
        <v>M</v>
      </c>
      <c r="AE12" s="42" t="str">
        <f>+IFERROR(VLOOKUP(WEEKDAY(AE11,2),Hoja2!$D$1:$E$7,2,FALSE),"")</f>
        <v>J</v>
      </c>
      <c r="AF12" s="42" t="str">
        <f>+IFERROR(VLOOKUP(WEEKDAY(AF11,2),Hoja2!$D$1:$E$7,2,FALSE),"")</f>
        <v>V</v>
      </c>
      <c r="AG12" s="42" t="str">
        <f>+IFERROR(VLOOKUP(WEEKDAY(AG11,2),Hoja2!$D$1:$E$7,2,FALSE),"")</f>
        <v>S</v>
      </c>
      <c r="AH12" s="42" t="str">
        <f>+IFERROR(VLOOKUP(WEEKDAY(AH11,2),Hoja2!$D$1:$E$7,2,FALSE),"")</f>
        <v>D</v>
      </c>
      <c r="AI12" s="42" t="str">
        <f>+IFERROR(VLOOKUP(WEEKDAY(AI11,2),Hoja2!$D$1:$E$7,2,FALSE),"")</f>
        <v/>
      </c>
      <c r="AJ12" s="31"/>
      <c r="AK12" s="53"/>
      <c r="AL12" s="54"/>
    </row>
    <row r="13" spans="2:39" s="2" customFormat="1" ht="22.5" customHeight="1">
      <c r="B13" s="40" t="s">
        <v>55</v>
      </c>
      <c r="C13" s="40" t="s">
        <v>54</v>
      </c>
      <c r="D13" s="41"/>
      <c r="E13" s="39">
        <v>1</v>
      </c>
      <c r="F13" s="39">
        <f>+IF((E13+1)&lt;=$W$9,(E13+1),"")</f>
        <v>2</v>
      </c>
      <c r="G13" s="39">
        <f t="shared" ref="G13:AI13" si="1">+IF((F13+1)&lt;=$W$9,(F13+1),"")</f>
        <v>3</v>
      </c>
      <c r="H13" s="39">
        <f t="shared" si="1"/>
        <v>4</v>
      </c>
      <c r="I13" s="39">
        <f t="shared" si="1"/>
        <v>5</v>
      </c>
      <c r="J13" s="39">
        <f t="shared" si="1"/>
        <v>6</v>
      </c>
      <c r="K13" s="39">
        <f t="shared" si="1"/>
        <v>7</v>
      </c>
      <c r="L13" s="39">
        <f t="shared" si="1"/>
        <v>8</v>
      </c>
      <c r="M13" s="39">
        <f t="shared" si="1"/>
        <v>9</v>
      </c>
      <c r="N13" s="39">
        <f t="shared" si="1"/>
        <v>10</v>
      </c>
      <c r="O13" s="39">
        <f t="shared" si="1"/>
        <v>11</v>
      </c>
      <c r="P13" s="39">
        <f t="shared" si="1"/>
        <v>12</v>
      </c>
      <c r="Q13" s="39">
        <f t="shared" si="1"/>
        <v>13</v>
      </c>
      <c r="R13" s="39">
        <f t="shared" si="1"/>
        <v>14</v>
      </c>
      <c r="S13" s="39">
        <f t="shared" si="1"/>
        <v>15</v>
      </c>
      <c r="T13" s="39">
        <f t="shared" si="1"/>
        <v>16</v>
      </c>
      <c r="U13" s="39">
        <f t="shared" si="1"/>
        <v>17</v>
      </c>
      <c r="V13" s="39">
        <f t="shared" si="1"/>
        <v>18</v>
      </c>
      <c r="W13" s="39">
        <f t="shared" si="1"/>
        <v>19</v>
      </c>
      <c r="X13" s="39">
        <f t="shared" si="1"/>
        <v>20</v>
      </c>
      <c r="Y13" s="39">
        <f t="shared" si="1"/>
        <v>21</v>
      </c>
      <c r="Z13" s="39">
        <f t="shared" si="1"/>
        <v>22</v>
      </c>
      <c r="AA13" s="39">
        <f t="shared" si="1"/>
        <v>23</v>
      </c>
      <c r="AB13" s="39">
        <f t="shared" si="1"/>
        <v>24</v>
      </c>
      <c r="AC13" s="39">
        <f t="shared" si="1"/>
        <v>25</v>
      </c>
      <c r="AD13" s="39">
        <f t="shared" si="1"/>
        <v>26</v>
      </c>
      <c r="AE13" s="39">
        <f t="shared" si="1"/>
        <v>27</v>
      </c>
      <c r="AF13" s="39">
        <f t="shared" si="1"/>
        <v>28</v>
      </c>
      <c r="AG13" s="39">
        <f t="shared" si="1"/>
        <v>29</v>
      </c>
      <c r="AH13" s="39">
        <f t="shared" si="1"/>
        <v>30</v>
      </c>
      <c r="AI13" s="39" t="str">
        <f t="shared" si="1"/>
        <v/>
      </c>
      <c r="AJ13" s="31"/>
      <c r="AK13" s="53"/>
      <c r="AL13" s="54"/>
    </row>
    <row r="14" spans="2:39" ht="3.75" customHeight="1" thickBot="1">
      <c r="AK14" s="44"/>
      <c r="AL14" s="48"/>
    </row>
    <row r="15" spans="2:39" ht="14.4" thickBot="1">
      <c r="B15" s="18">
        <v>1</v>
      </c>
      <c r="C15" s="193" t="s">
        <v>26</v>
      </c>
      <c r="D15" s="193"/>
      <c r="E15" s="191"/>
      <c r="F15" s="19"/>
      <c r="G15" s="19">
        <v>1</v>
      </c>
      <c r="H15" s="19">
        <v>1</v>
      </c>
      <c r="I15" s="19">
        <v>1</v>
      </c>
      <c r="J15" s="19">
        <v>1</v>
      </c>
      <c r="K15" s="19">
        <v>1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20"/>
      <c r="AJ15" s="57">
        <f>SUM(E15:AH15)</f>
        <v>5</v>
      </c>
      <c r="AK15" s="55"/>
      <c r="AL15" s="56"/>
    </row>
    <row r="16" spans="2:39" ht="14.4" thickBot="1">
      <c r="B16" s="21">
        <v>2</v>
      </c>
      <c r="C16" s="193" t="s">
        <v>27</v>
      </c>
      <c r="D16" s="193"/>
      <c r="E16" s="192"/>
      <c r="F16" s="15"/>
      <c r="G16" s="15"/>
      <c r="H16" s="15"/>
      <c r="I16" s="15"/>
      <c r="J16" s="15"/>
      <c r="K16" s="15">
        <v>1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22"/>
      <c r="AJ16" s="57">
        <f t="shared" ref="AJ16:AJ44" si="2">SUM(E16:AH16)</f>
        <v>1</v>
      </c>
      <c r="AK16" s="55"/>
      <c r="AL16" s="56"/>
    </row>
    <row r="17" spans="2:38" ht="14.4" thickBot="1">
      <c r="B17" s="21">
        <v>3</v>
      </c>
      <c r="C17" s="193" t="s">
        <v>28</v>
      </c>
      <c r="D17" s="193"/>
      <c r="E17" s="192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22"/>
      <c r="AJ17" s="57">
        <f t="shared" si="2"/>
        <v>0</v>
      </c>
      <c r="AK17" s="55"/>
      <c r="AL17" s="56"/>
    </row>
    <row r="18" spans="2:38" ht="14.4" thickBot="1">
      <c r="B18" s="21">
        <v>4</v>
      </c>
      <c r="C18" s="193" t="s">
        <v>29</v>
      </c>
      <c r="D18" s="193"/>
      <c r="E18" s="192"/>
      <c r="F18" s="15"/>
      <c r="G18" s="15"/>
      <c r="H18" s="15"/>
      <c r="I18" s="15">
        <v>1</v>
      </c>
      <c r="J18" s="15"/>
      <c r="K18" s="15"/>
      <c r="L18" s="15"/>
      <c r="M18" s="15"/>
      <c r="N18" s="15"/>
      <c r="O18" s="15"/>
      <c r="P18" s="15">
        <v>0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22"/>
      <c r="AJ18" s="57">
        <f t="shared" si="2"/>
        <v>1</v>
      </c>
      <c r="AK18" s="55"/>
      <c r="AL18" s="56"/>
    </row>
    <row r="19" spans="2:38" ht="14.4" thickBot="1">
      <c r="B19" s="21">
        <v>5</v>
      </c>
      <c r="C19" s="194" t="s">
        <v>30</v>
      </c>
      <c r="D19" s="194"/>
      <c r="E19" s="192"/>
      <c r="F19" s="15"/>
      <c r="G19" s="15"/>
      <c r="H19" s="15"/>
      <c r="I19" s="15"/>
      <c r="J19" s="15">
        <v>0</v>
      </c>
      <c r="K19" s="15"/>
      <c r="L19" s="15"/>
      <c r="M19" s="15"/>
      <c r="N19" s="15"/>
      <c r="O19" s="15"/>
      <c r="P19" s="15"/>
      <c r="Q19" s="15">
        <v>0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22"/>
      <c r="AJ19" s="57">
        <f t="shared" si="2"/>
        <v>0</v>
      </c>
      <c r="AK19" s="55"/>
      <c r="AL19" s="56"/>
    </row>
    <row r="20" spans="2:38" ht="14.4" thickBot="1">
      <c r="B20" s="21">
        <v>6</v>
      </c>
      <c r="C20" s="193" t="s">
        <v>31</v>
      </c>
      <c r="D20" s="193"/>
      <c r="E20" s="192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22"/>
      <c r="AJ20" s="57">
        <f t="shared" si="2"/>
        <v>0</v>
      </c>
      <c r="AK20" s="55"/>
      <c r="AL20" s="56"/>
    </row>
    <row r="21" spans="2:38" ht="14.4" thickBot="1">
      <c r="B21" s="21">
        <v>7</v>
      </c>
      <c r="C21" s="193" t="s">
        <v>32</v>
      </c>
      <c r="D21" s="193"/>
      <c r="E21" s="192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22"/>
      <c r="AJ21" s="57">
        <f t="shared" si="2"/>
        <v>0</v>
      </c>
      <c r="AK21" s="55"/>
      <c r="AL21" s="56"/>
    </row>
    <row r="22" spans="2:38" ht="14.4" thickBot="1">
      <c r="B22" s="21">
        <v>8</v>
      </c>
      <c r="C22" s="193" t="s">
        <v>33</v>
      </c>
      <c r="D22" s="193"/>
      <c r="E22" s="192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22"/>
      <c r="AJ22" s="57">
        <f t="shared" si="2"/>
        <v>0</v>
      </c>
      <c r="AK22" s="55"/>
      <c r="AL22" s="56"/>
    </row>
    <row r="23" spans="2:38" ht="14.4" thickBot="1">
      <c r="B23" s="21">
        <v>9</v>
      </c>
      <c r="C23" s="193" t="s">
        <v>33</v>
      </c>
      <c r="D23" s="193"/>
      <c r="E23" s="192"/>
      <c r="F23" s="15"/>
      <c r="G23" s="15">
        <v>1</v>
      </c>
      <c r="H23" s="15"/>
      <c r="I23" s="15">
        <v>1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22"/>
      <c r="AJ23" s="57">
        <f t="shared" si="2"/>
        <v>2</v>
      </c>
      <c r="AK23" s="55"/>
      <c r="AL23" s="56"/>
    </row>
    <row r="24" spans="2:38" ht="14.4" thickBot="1">
      <c r="B24" s="21">
        <v>10</v>
      </c>
      <c r="C24" s="193" t="s">
        <v>34</v>
      </c>
      <c r="D24" s="193"/>
      <c r="E24" s="192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22"/>
      <c r="AJ24" s="57">
        <f t="shared" si="2"/>
        <v>0</v>
      </c>
      <c r="AK24" s="55"/>
      <c r="AL24" s="56"/>
    </row>
    <row r="25" spans="2:38" ht="14.4" thickBot="1">
      <c r="B25" s="21">
        <v>11</v>
      </c>
      <c r="C25" s="193" t="s">
        <v>35</v>
      </c>
      <c r="D25" s="193"/>
      <c r="E25" s="192"/>
      <c r="F25" s="15"/>
      <c r="G25" s="15"/>
      <c r="H25" s="15"/>
      <c r="I25" s="15"/>
      <c r="J25" s="15">
        <v>1</v>
      </c>
      <c r="K25" s="15"/>
      <c r="L25" s="15"/>
      <c r="M25" s="15"/>
      <c r="N25" s="15">
        <v>1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22"/>
      <c r="AJ25" s="57">
        <f t="shared" si="2"/>
        <v>2</v>
      </c>
      <c r="AK25" s="55"/>
      <c r="AL25" s="56"/>
    </row>
    <row r="26" spans="2:38" ht="14.4" thickBot="1">
      <c r="B26" s="21">
        <v>12</v>
      </c>
      <c r="C26" s="193" t="s">
        <v>36</v>
      </c>
      <c r="D26" s="193"/>
      <c r="E26" s="192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22"/>
      <c r="AJ26" s="57">
        <f t="shared" si="2"/>
        <v>0</v>
      </c>
      <c r="AK26" s="55"/>
      <c r="AL26" s="56"/>
    </row>
    <row r="27" spans="2:38" ht="15" customHeight="1" thickBot="1">
      <c r="B27" s="43" t="s">
        <v>53</v>
      </c>
      <c r="C27" s="195"/>
      <c r="D27" s="58"/>
      <c r="E27" s="59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1"/>
      <c r="AJ27" s="62"/>
      <c r="AK27" s="55"/>
      <c r="AL27" s="56"/>
    </row>
    <row r="28" spans="2:38" ht="14.4" thickBot="1">
      <c r="B28" s="21">
        <v>14</v>
      </c>
      <c r="C28" s="197" t="s">
        <v>37</v>
      </c>
      <c r="D28" s="198"/>
      <c r="E28" s="192"/>
      <c r="F28" s="15"/>
      <c r="G28" s="15">
        <v>1</v>
      </c>
      <c r="H28" s="15">
        <v>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22"/>
      <c r="AJ28" s="57">
        <f t="shared" si="2"/>
        <v>2</v>
      </c>
      <c r="AK28" s="55"/>
      <c r="AL28" s="56"/>
    </row>
    <row r="29" spans="2:38" ht="14.4" thickBot="1">
      <c r="B29" s="21">
        <v>15</v>
      </c>
      <c r="C29" s="199" t="s">
        <v>38</v>
      </c>
      <c r="D29" s="200"/>
      <c r="E29" s="192"/>
      <c r="F29" s="15"/>
      <c r="G29" s="15"/>
      <c r="H29" s="15">
        <v>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22"/>
      <c r="AJ29" s="57">
        <f t="shared" si="2"/>
        <v>1</v>
      </c>
      <c r="AK29" s="55"/>
      <c r="AL29" s="56"/>
    </row>
    <row r="30" spans="2:38" ht="14.4" thickBot="1">
      <c r="B30" s="21">
        <v>16</v>
      </c>
      <c r="C30" s="199" t="s">
        <v>39</v>
      </c>
      <c r="D30" s="200"/>
      <c r="E30" s="192"/>
      <c r="F30" s="15"/>
      <c r="G30" s="15">
        <v>1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22"/>
      <c r="AJ30" s="57">
        <f t="shared" si="2"/>
        <v>1</v>
      </c>
      <c r="AK30" s="55"/>
      <c r="AL30" s="56"/>
    </row>
    <row r="31" spans="2:38" ht="14.4" thickBot="1">
      <c r="B31" s="21">
        <v>17</v>
      </c>
      <c r="C31" s="197" t="s">
        <v>40</v>
      </c>
      <c r="D31" s="198"/>
      <c r="E31" s="192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22"/>
      <c r="AJ31" s="57">
        <f t="shared" si="2"/>
        <v>0</v>
      </c>
      <c r="AK31" s="55"/>
      <c r="AL31" s="56"/>
    </row>
    <row r="32" spans="2:38" ht="14.4" thickBot="1">
      <c r="B32" s="21">
        <v>18</v>
      </c>
      <c r="C32" s="197" t="s">
        <v>41</v>
      </c>
      <c r="D32" s="198"/>
      <c r="E32" s="192"/>
      <c r="F32" s="15"/>
      <c r="G32" s="15"/>
      <c r="H32" s="15">
        <v>1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22"/>
      <c r="AJ32" s="57">
        <f t="shared" si="2"/>
        <v>1</v>
      </c>
      <c r="AK32" s="55"/>
      <c r="AL32" s="56"/>
    </row>
    <row r="33" spans="2:38" ht="14.4" thickBot="1">
      <c r="B33" s="21">
        <v>19</v>
      </c>
      <c r="C33" s="197" t="s">
        <v>42</v>
      </c>
      <c r="D33" s="198"/>
      <c r="E33" s="192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22"/>
      <c r="AJ33" s="57">
        <f t="shared" si="2"/>
        <v>0</v>
      </c>
      <c r="AK33" s="55"/>
      <c r="AL33" s="56"/>
    </row>
    <row r="34" spans="2:38" ht="14.4" thickBot="1">
      <c r="B34" s="21">
        <v>20</v>
      </c>
      <c r="C34" s="197" t="s">
        <v>43</v>
      </c>
      <c r="D34" s="198"/>
      <c r="E34" s="192"/>
      <c r="F34" s="15"/>
      <c r="G34" s="15"/>
      <c r="H34" s="15"/>
      <c r="I34" s="15">
        <v>1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22"/>
      <c r="AJ34" s="57">
        <f t="shared" si="2"/>
        <v>1</v>
      </c>
      <c r="AK34" s="55"/>
      <c r="AL34" s="56"/>
    </row>
    <row r="35" spans="2:38" ht="14.4" thickBot="1">
      <c r="B35" s="21">
        <v>21</v>
      </c>
      <c r="C35" s="199" t="s">
        <v>44</v>
      </c>
      <c r="D35" s="200"/>
      <c r="E35" s="192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22"/>
      <c r="AJ35" s="57">
        <f t="shared" si="2"/>
        <v>0</v>
      </c>
      <c r="AK35" s="55"/>
      <c r="AL35" s="56"/>
    </row>
    <row r="36" spans="2:38" ht="14.4" thickBot="1">
      <c r="B36" s="21">
        <v>22</v>
      </c>
      <c r="C36" s="197" t="s">
        <v>45</v>
      </c>
      <c r="D36" s="198"/>
      <c r="E36" s="192"/>
      <c r="F36" s="15"/>
      <c r="G36" s="15"/>
      <c r="H36" s="15"/>
      <c r="I36" s="15"/>
      <c r="J36" s="15">
        <v>1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22"/>
      <c r="AJ36" s="57">
        <f t="shared" si="2"/>
        <v>1</v>
      </c>
      <c r="AK36" s="55"/>
      <c r="AL36" s="56"/>
    </row>
    <row r="37" spans="2:38" ht="14.4" thickBot="1">
      <c r="B37" s="21">
        <v>23</v>
      </c>
      <c r="C37" s="197" t="s">
        <v>46</v>
      </c>
      <c r="D37" s="198"/>
      <c r="E37" s="192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22"/>
      <c r="AJ37" s="57">
        <f t="shared" si="2"/>
        <v>0</v>
      </c>
      <c r="AK37" s="55"/>
      <c r="AL37" s="56"/>
    </row>
    <row r="38" spans="2:38" ht="14.4" thickBot="1">
      <c r="B38" s="21">
        <v>24</v>
      </c>
      <c r="C38" s="197" t="s">
        <v>47</v>
      </c>
      <c r="D38" s="198"/>
      <c r="E38" s="192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22"/>
      <c r="AJ38" s="57">
        <f t="shared" si="2"/>
        <v>0</v>
      </c>
      <c r="AK38" s="55"/>
      <c r="AL38" s="56"/>
    </row>
    <row r="39" spans="2:38" ht="14.4" thickBot="1">
      <c r="B39" s="21">
        <v>25</v>
      </c>
      <c r="C39" s="197" t="s">
        <v>48</v>
      </c>
      <c r="D39" s="198"/>
      <c r="E39" s="192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22"/>
      <c r="AJ39" s="57">
        <f t="shared" si="2"/>
        <v>0</v>
      </c>
      <c r="AK39" s="55"/>
      <c r="AL39" s="56"/>
    </row>
    <row r="40" spans="2:38" ht="14.4" thickBot="1">
      <c r="B40" s="21">
        <v>26</v>
      </c>
      <c r="C40" s="197" t="s">
        <v>49</v>
      </c>
      <c r="D40" s="198"/>
      <c r="E40" s="192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22"/>
      <c r="AJ40" s="57">
        <f t="shared" si="2"/>
        <v>0</v>
      </c>
      <c r="AK40" s="55"/>
      <c r="AL40" s="56"/>
    </row>
    <row r="41" spans="2:38" ht="14.4" thickBot="1">
      <c r="B41" s="21">
        <v>27</v>
      </c>
      <c r="C41" s="197" t="s">
        <v>50</v>
      </c>
      <c r="D41" s="198"/>
      <c r="E41" s="192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1</v>
      </c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22"/>
      <c r="AJ41" s="57">
        <f t="shared" si="2"/>
        <v>1</v>
      </c>
      <c r="AK41" s="55"/>
      <c r="AL41" s="56"/>
    </row>
    <row r="42" spans="2:38" ht="14.4" thickBot="1">
      <c r="B42" s="21">
        <v>28</v>
      </c>
      <c r="C42" s="199" t="s">
        <v>51</v>
      </c>
      <c r="D42" s="200"/>
      <c r="E42" s="192"/>
      <c r="F42" s="15"/>
      <c r="G42" s="15"/>
      <c r="H42" s="15"/>
      <c r="I42" s="15"/>
      <c r="J42" s="15">
        <v>1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22"/>
      <c r="AJ42" s="57">
        <f t="shared" si="2"/>
        <v>1</v>
      </c>
      <c r="AK42" s="55"/>
      <c r="AL42" s="56"/>
    </row>
    <row r="43" spans="2:38" ht="14.4" thickBot="1">
      <c r="B43" s="21">
        <v>29</v>
      </c>
      <c r="C43" s="197" t="s">
        <v>52</v>
      </c>
      <c r="D43" s="198"/>
      <c r="E43" s="192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22"/>
      <c r="AJ43" s="57">
        <f t="shared" si="2"/>
        <v>0</v>
      </c>
      <c r="AK43" s="55"/>
      <c r="AL43" s="56"/>
    </row>
    <row r="44" spans="2:38" ht="15.6" thickBot="1">
      <c r="B44" s="23"/>
      <c r="C44" s="196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5"/>
      <c r="AJ44" s="57">
        <f t="shared" si="2"/>
        <v>0</v>
      </c>
      <c r="AK44" s="55"/>
      <c r="AL44" s="56"/>
    </row>
    <row r="45" spans="2:38">
      <c r="AK45" s="44"/>
      <c r="AL45" s="48"/>
    </row>
    <row r="49" customFormat="1"/>
    <row r="50" customFormat="1"/>
    <row r="51" customFormat="1"/>
    <row r="52" customFormat="1"/>
  </sheetData>
  <mergeCells count="39">
    <mergeCell ref="C42:D42"/>
    <mergeCell ref="C43:D43"/>
    <mergeCell ref="B27:C27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26:D26"/>
    <mergeCell ref="C28:D28"/>
    <mergeCell ref="C29:D29"/>
    <mergeCell ref="C30:D30"/>
    <mergeCell ref="C31:D31"/>
    <mergeCell ref="C21:D21"/>
    <mergeCell ref="C22:D22"/>
    <mergeCell ref="C23:D23"/>
    <mergeCell ref="C24:D24"/>
    <mergeCell ref="C25:D25"/>
    <mergeCell ref="C15:D15"/>
    <mergeCell ref="C16:D16"/>
    <mergeCell ref="C17:D17"/>
    <mergeCell ref="C18:D18"/>
    <mergeCell ref="C20:D20"/>
    <mergeCell ref="B3:B5"/>
    <mergeCell ref="Z2:AD2"/>
    <mergeCell ref="S7:U7"/>
    <mergeCell ref="AE3:AF3"/>
    <mergeCell ref="AE5:AF5"/>
    <mergeCell ref="AE7:AF7"/>
    <mergeCell ref="AJ11:AJ13"/>
    <mergeCell ref="AK11:AK13"/>
    <mergeCell ref="AL11:AL13"/>
    <mergeCell ref="S9:U9"/>
    <mergeCell ref="AE9:AF9"/>
  </mergeCells>
  <conditionalFormatting sqref="E15:AI44">
    <cfRule type="cellIs" dxfId="2" priority="1" operator="equal">
      <formula>"J"</formula>
    </cfRule>
    <cfRule type="cellIs" dxfId="1" priority="2" operator="equal">
      <formula>"T"</formula>
    </cfRule>
    <cfRule type="expression" dxfId="0" priority="4">
      <formula>OR(E$12="S",E$12="D")</formula>
    </cfRule>
  </conditionalFormatting>
  <dataValidations count="2">
    <dataValidation type="list" allowBlank="1" showInputMessage="1" showErrorMessage="1" sqref="S9:U9" xr:uid="{10380BA8-8DAF-4709-B8BA-29FBB6D3334E}">
      <formula1>"Enero,Febrero,Marzo,Abril,Mayo,Junio,Julio,Agosto,Septiembre,Octubre,Noviembre,Diciembre"</formula1>
    </dataValidation>
    <dataValidation type="list" allowBlank="1" showInputMessage="1" showErrorMessage="1" sqref="E15:AI44" xr:uid="{89C2EC14-AF03-4059-BAF6-9A1D8441A524}">
      <formula1>"1,0,T,J"</formula1>
    </dataValidation>
  </dataValidations>
  <pageMargins left="0.7" right="0.7" top="0.75" bottom="0.75" header="0.3" footer="0.3"/>
  <pageSetup paperSize="9" scale="4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69543037-124F-4121-A9C4-20640F0329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E15:AI36 E43:AI44 E41:AI41</xm:sqref>
        </x14:conditionalFormatting>
        <x14:conditionalFormatting xmlns:xm="http://schemas.microsoft.com/office/excel/2006/main">
          <x14:cfRule type="iconSet" priority="8" id="{159829E6-AFC3-4959-9875-425CB101F2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E37:AI37 E39:AI40</xm:sqref>
        </x14:conditionalFormatting>
        <x14:conditionalFormatting xmlns:xm="http://schemas.microsoft.com/office/excel/2006/main">
          <x14:cfRule type="iconSet" priority="6" id="{9056CF41-8095-4FCA-9163-452D676E4E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E38:AI38</xm:sqref>
        </x14:conditionalFormatting>
        <x14:conditionalFormatting xmlns:xm="http://schemas.microsoft.com/office/excel/2006/main">
          <x14:cfRule type="iconSet" priority="10" id="{7CC3EAFC-98D4-4518-BFD2-4B6CCC62BD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E42:AI42</xm:sqref>
        </x14:conditionalFormatting>
        <x14:conditionalFormatting xmlns:xm="http://schemas.microsoft.com/office/excel/2006/main">
          <x14:cfRule type="iconSet" priority="13" id="{A7D34C6E-760E-4B9D-8363-A3D1155594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AD3 AD5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70C0-F394-4383-B375-DEE53505A1B5}">
  <sheetPr>
    <outlinePr summaryBelow="0" summaryRight="0"/>
    <pageSetUpPr fitToPage="1"/>
  </sheetPr>
  <dimension ref="A1:N58"/>
  <sheetViews>
    <sheetView showGridLines="0" zoomScaleNormal="100" workbookViewId="0">
      <selection activeCell="P30" sqref="P30"/>
    </sheetView>
  </sheetViews>
  <sheetFormatPr baseColWidth="10" defaultColWidth="11.09765625" defaultRowHeight="15.75" customHeight="1"/>
  <cols>
    <col min="1" max="1" width="11.09765625" style="63"/>
    <col min="2" max="2" width="3" style="63" customWidth="1"/>
    <col min="3" max="3" width="21.296875" style="63" customWidth="1"/>
    <col min="4" max="4" width="18.296875" style="63" customWidth="1"/>
    <col min="5" max="5" width="10.09765625" style="63" customWidth="1"/>
    <col min="6" max="6" width="14.8984375" style="63" customWidth="1"/>
    <col min="7" max="7" width="14.09765625" style="63" customWidth="1"/>
    <col min="8" max="8" width="3.5" style="63" customWidth="1"/>
    <col min="9" max="9" width="6.8984375" style="63" customWidth="1"/>
    <col min="10" max="10" width="19.59765625" style="63" customWidth="1"/>
    <col min="11" max="11" width="11.69921875" style="63" customWidth="1"/>
    <col min="12" max="12" width="10.09765625" style="63" customWidth="1"/>
    <col min="13" max="13" width="11.19921875" style="63" customWidth="1"/>
    <col min="14" max="14" width="3" style="63" customWidth="1"/>
    <col min="15" max="16384" width="11.09765625" style="63"/>
  </cols>
  <sheetData>
    <row r="1" spans="1:14" ht="15.75" customHeight="1" thickBot="1"/>
    <row r="2" spans="1:14" ht="14.4" thickTop="1">
      <c r="A2" s="64"/>
      <c r="B2" s="65"/>
      <c r="C2" s="66"/>
      <c r="D2" s="66"/>
      <c r="E2" s="66"/>
      <c r="F2" s="67"/>
      <c r="G2" s="68"/>
      <c r="H2" s="68"/>
      <c r="I2" s="68"/>
      <c r="J2" s="68"/>
      <c r="K2" s="68"/>
      <c r="L2" s="68"/>
      <c r="M2" s="68"/>
      <c r="N2" s="69"/>
    </row>
    <row r="3" spans="1:14" ht="75.599999999999994" customHeight="1">
      <c r="B3" s="70"/>
      <c r="C3" s="71"/>
      <c r="D3" s="71"/>
      <c r="E3" s="72"/>
      <c r="I3" s="73" t="s">
        <v>59</v>
      </c>
      <c r="J3" s="73"/>
      <c r="K3" s="73"/>
      <c r="L3" s="73"/>
      <c r="M3" s="73"/>
      <c r="N3" s="74"/>
    </row>
    <row r="4" spans="1:14" ht="13.8">
      <c r="B4" s="75"/>
      <c r="C4" s="72"/>
      <c r="D4" s="72"/>
      <c r="E4" s="72"/>
      <c r="N4" s="76"/>
    </row>
    <row r="5" spans="1:14" ht="15.75" customHeight="1" thickBo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9"/>
    </row>
    <row r="6" spans="1:14" ht="14.4" thickTop="1">
      <c r="B6" s="80" t="s">
        <v>60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81"/>
    </row>
    <row r="7" spans="1:14" ht="13.8"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4"/>
    </row>
    <row r="8" spans="1:14" ht="13.8">
      <c r="B8" s="85"/>
      <c r="C8" s="86"/>
      <c r="D8" s="86"/>
      <c r="E8" s="86"/>
      <c r="N8" s="87"/>
    </row>
    <row r="9" spans="1:14" ht="13.8">
      <c r="B9" s="85"/>
      <c r="C9" s="88" t="s">
        <v>61</v>
      </c>
      <c r="D9" s="89"/>
      <c r="E9" s="90" t="s">
        <v>62</v>
      </c>
      <c r="F9" s="91"/>
      <c r="G9" s="92"/>
      <c r="H9" s="93"/>
      <c r="I9" s="88" t="s">
        <v>63</v>
      </c>
      <c r="J9" s="89"/>
      <c r="K9" s="94" t="s">
        <v>64</v>
      </c>
      <c r="L9" s="95"/>
      <c r="M9" s="96"/>
      <c r="N9" s="87"/>
    </row>
    <row r="10" spans="1:14" ht="13.8">
      <c r="B10" s="85"/>
      <c r="E10" s="97"/>
      <c r="F10" s="98"/>
      <c r="G10" s="98"/>
      <c r="H10" s="93"/>
      <c r="I10" s="93"/>
      <c r="J10" s="93"/>
      <c r="K10" s="98"/>
      <c r="L10" s="98"/>
      <c r="M10" s="98"/>
      <c r="N10" s="87"/>
    </row>
    <row r="11" spans="1:14" ht="13.8">
      <c r="B11" s="85"/>
      <c r="C11" s="88" t="s">
        <v>65</v>
      </c>
      <c r="D11" s="89"/>
      <c r="E11" s="90" t="s">
        <v>66</v>
      </c>
      <c r="F11" s="91"/>
      <c r="G11" s="92"/>
      <c r="H11" s="93"/>
      <c r="I11" s="88" t="s">
        <v>67</v>
      </c>
      <c r="J11" s="89"/>
      <c r="K11" s="94" t="s">
        <v>68</v>
      </c>
      <c r="L11" s="95"/>
      <c r="M11" s="96"/>
      <c r="N11" s="87"/>
    </row>
    <row r="12" spans="1:14" ht="13.8">
      <c r="B12" s="85"/>
      <c r="E12" s="97"/>
      <c r="F12" s="98"/>
      <c r="G12" s="98"/>
      <c r="H12" s="93"/>
      <c r="I12" s="93"/>
      <c r="J12" s="93"/>
      <c r="K12" s="98"/>
      <c r="L12" s="98"/>
      <c r="M12" s="98"/>
      <c r="N12" s="87"/>
    </row>
    <row r="13" spans="1:14" ht="13.8">
      <c r="B13" s="99"/>
      <c r="C13" s="88" t="s">
        <v>69</v>
      </c>
      <c r="D13" s="89"/>
      <c r="E13" s="90">
        <v>45118617450</v>
      </c>
      <c r="F13" s="91"/>
      <c r="G13" s="92"/>
      <c r="H13" s="93"/>
      <c r="I13" s="88" t="s">
        <v>70</v>
      </c>
      <c r="J13" s="89"/>
      <c r="K13" s="100">
        <v>45900</v>
      </c>
      <c r="L13" s="101"/>
      <c r="M13" s="96"/>
      <c r="N13" s="87"/>
    </row>
    <row r="14" spans="1:14" ht="13.8">
      <c r="B14" s="85"/>
      <c r="N14" s="87"/>
    </row>
    <row r="15" spans="1:14" ht="13.8">
      <c r="B15" s="102" t="s">
        <v>71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4"/>
    </row>
    <row r="16" spans="1:14" ht="13.8"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4"/>
    </row>
    <row r="17" spans="2:14" ht="13.8">
      <c r="B17" s="85"/>
      <c r="N17" s="87"/>
    </row>
    <row r="18" spans="2:14" ht="14.4" customHeight="1">
      <c r="B18" s="85"/>
      <c r="C18" s="105" t="s">
        <v>72</v>
      </c>
      <c r="D18" s="106"/>
      <c r="E18" s="106"/>
      <c r="F18" s="106"/>
      <c r="G18" s="89"/>
      <c r="I18" s="107" t="s">
        <v>73</v>
      </c>
      <c r="J18" s="108"/>
      <c r="K18" s="108"/>
      <c r="L18" s="108"/>
      <c r="M18" s="109"/>
      <c r="N18" s="87"/>
    </row>
    <row r="19" spans="2:14" ht="22.5" customHeight="1">
      <c r="B19" s="85"/>
      <c r="C19" s="110" t="s">
        <v>74</v>
      </c>
      <c r="D19" s="111" t="s">
        <v>75</v>
      </c>
      <c r="E19" s="110" t="s">
        <v>76</v>
      </c>
      <c r="F19" s="110" t="s">
        <v>71</v>
      </c>
      <c r="G19" s="110" t="s">
        <v>77</v>
      </c>
      <c r="I19" s="112" t="s">
        <v>78</v>
      </c>
      <c r="J19" s="113"/>
      <c r="K19" s="110" t="s">
        <v>79</v>
      </c>
      <c r="L19" s="110" t="s">
        <v>76</v>
      </c>
      <c r="M19" s="114" t="s">
        <v>80</v>
      </c>
      <c r="N19" s="87"/>
    </row>
    <row r="20" spans="2:14" ht="22.5" customHeight="1">
      <c r="B20" s="85"/>
      <c r="C20" s="115">
        <v>6000</v>
      </c>
      <c r="D20" s="116">
        <f>C20/15</f>
        <v>400</v>
      </c>
      <c r="E20" s="117">
        <v>15</v>
      </c>
      <c r="F20" s="116">
        <f>E20*D20</f>
        <v>6000</v>
      </c>
      <c r="G20" s="118">
        <f>K13</f>
        <v>45900</v>
      </c>
      <c r="I20" s="119" t="s">
        <v>81</v>
      </c>
      <c r="J20" s="89"/>
      <c r="K20" s="120">
        <f>F20*0.076</f>
        <v>456</v>
      </c>
      <c r="L20" s="121" t="s">
        <v>82</v>
      </c>
      <c r="M20" s="120">
        <f>K20</f>
        <v>456</v>
      </c>
      <c r="N20" s="87"/>
    </row>
    <row r="21" spans="2:14" ht="22.5" customHeight="1">
      <c r="B21" s="85"/>
      <c r="C21" s="105" t="s">
        <v>83</v>
      </c>
      <c r="D21" s="106"/>
      <c r="E21" s="106"/>
      <c r="F21" s="106"/>
      <c r="G21" s="89"/>
      <c r="I21" s="119" t="s">
        <v>84</v>
      </c>
      <c r="J21" s="89"/>
      <c r="K21" s="120">
        <f>F20*0.02</f>
        <v>120</v>
      </c>
      <c r="L21" s="121" t="s">
        <v>82</v>
      </c>
      <c r="M21" s="120">
        <f>K21</f>
        <v>120</v>
      </c>
      <c r="N21" s="87"/>
    </row>
    <row r="22" spans="2:14" ht="22.5" customHeight="1">
      <c r="B22" s="85"/>
      <c r="C22" s="122" t="s">
        <v>54</v>
      </c>
      <c r="D22" s="123"/>
      <c r="E22" s="124" t="s">
        <v>76</v>
      </c>
      <c r="F22" s="124" t="s">
        <v>79</v>
      </c>
      <c r="G22" s="125" t="s">
        <v>80</v>
      </c>
      <c r="I22" s="126" t="s">
        <v>85</v>
      </c>
      <c r="J22" s="127"/>
      <c r="K22" s="120">
        <f>F20*0.0256</f>
        <v>153.6</v>
      </c>
      <c r="L22" s="121" t="s">
        <v>82</v>
      </c>
      <c r="M22" s="120">
        <f>K22</f>
        <v>153.6</v>
      </c>
      <c r="N22" s="87"/>
    </row>
    <row r="23" spans="2:14" ht="16.2" customHeight="1">
      <c r="B23" s="85"/>
      <c r="C23" s="128" t="s">
        <v>26</v>
      </c>
      <c r="D23" s="129"/>
      <c r="E23" s="189">
        <f>CULTURA!AJ15</f>
        <v>5</v>
      </c>
      <c r="F23" s="120">
        <v>39.47</v>
      </c>
      <c r="G23" s="116">
        <f>F23*E23</f>
        <v>197.35</v>
      </c>
      <c r="I23" s="130" t="s">
        <v>86</v>
      </c>
      <c r="J23" s="130"/>
      <c r="K23" s="130"/>
      <c r="L23" s="130"/>
      <c r="M23" s="131"/>
      <c r="N23" s="87"/>
    </row>
    <row r="24" spans="2:14" ht="22.2" customHeight="1">
      <c r="B24" s="85"/>
      <c r="C24" s="128" t="s">
        <v>27</v>
      </c>
      <c r="D24" s="129"/>
      <c r="E24" s="189">
        <f>CULTURA!AJ16</f>
        <v>1</v>
      </c>
      <c r="F24" s="120">
        <v>9.8699999999999992</v>
      </c>
      <c r="G24" s="116">
        <f t="shared" ref="G24:G26" si="0">F24*E24</f>
        <v>9.8699999999999992</v>
      </c>
      <c r="I24" s="132" t="s">
        <v>37</v>
      </c>
      <c r="J24" s="133"/>
      <c r="K24" s="120">
        <v>22</v>
      </c>
      <c r="L24" s="134">
        <f>CULTURA!AJ28</f>
        <v>2</v>
      </c>
      <c r="M24" s="120">
        <f>K24*L24</f>
        <v>44</v>
      </c>
      <c r="N24" s="87"/>
    </row>
    <row r="25" spans="2:14" ht="32.4" customHeight="1">
      <c r="B25" s="85"/>
      <c r="C25" s="135" t="s">
        <v>87</v>
      </c>
      <c r="D25" s="136"/>
      <c r="E25" s="137">
        <v>1</v>
      </c>
      <c r="F25" s="115">
        <v>0</v>
      </c>
      <c r="G25" s="116">
        <f>F25*E25</f>
        <v>0</v>
      </c>
      <c r="I25" s="138" t="s">
        <v>38</v>
      </c>
      <c r="J25" s="139"/>
      <c r="K25" s="120">
        <v>7</v>
      </c>
      <c r="L25" s="134">
        <f>CULTURA!AJ29</f>
        <v>1</v>
      </c>
      <c r="M25" s="120">
        <f t="shared" ref="M25:M39" si="1">K25*L25</f>
        <v>7</v>
      </c>
      <c r="N25" s="87"/>
    </row>
    <row r="26" spans="2:14" ht="22.5" customHeight="1">
      <c r="B26" s="85"/>
      <c r="C26" s="128" t="s">
        <v>88</v>
      </c>
      <c r="D26" s="129"/>
      <c r="E26" s="140">
        <v>1</v>
      </c>
      <c r="F26" s="115">
        <v>0</v>
      </c>
      <c r="G26" s="116">
        <f t="shared" si="0"/>
        <v>0</v>
      </c>
      <c r="I26" s="138" t="s">
        <v>39</v>
      </c>
      <c r="J26" s="139"/>
      <c r="K26" s="120">
        <v>7</v>
      </c>
      <c r="L26" s="134">
        <f>CULTURA!AJ30</f>
        <v>1</v>
      </c>
      <c r="M26" s="120">
        <f t="shared" si="1"/>
        <v>7</v>
      </c>
      <c r="N26" s="87"/>
    </row>
    <row r="27" spans="2:14" ht="22.5" customHeight="1">
      <c r="B27" s="85"/>
      <c r="C27" s="105" t="s">
        <v>89</v>
      </c>
      <c r="D27" s="141"/>
      <c r="E27" s="141"/>
      <c r="F27" s="141"/>
      <c r="G27" s="142"/>
      <c r="I27" s="132" t="s">
        <v>40</v>
      </c>
      <c r="J27" s="133"/>
      <c r="K27" s="120">
        <v>7</v>
      </c>
      <c r="L27" s="134">
        <f>CULTURA!AJ31</f>
        <v>0</v>
      </c>
      <c r="M27" s="120">
        <f t="shared" si="1"/>
        <v>0</v>
      </c>
      <c r="N27" s="87"/>
    </row>
    <row r="28" spans="2:14" ht="22.5" customHeight="1">
      <c r="B28" s="85"/>
      <c r="C28" s="128" t="s">
        <v>28</v>
      </c>
      <c r="D28" s="129"/>
      <c r="E28" s="189">
        <f>CULTURA!AJ17</f>
        <v>0</v>
      </c>
      <c r="F28" s="120">
        <v>22</v>
      </c>
      <c r="G28" s="116">
        <f>F28*E28</f>
        <v>0</v>
      </c>
      <c r="I28" s="132" t="s">
        <v>41</v>
      </c>
      <c r="J28" s="133"/>
      <c r="K28" s="120">
        <v>5</v>
      </c>
      <c r="L28" s="134">
        <f>CULTURA!AJ32</f>
        <v>1</v>
      </c>
      <c r="M28" s="120">
        <f t="shared" si="1"/>
        <v>5</v>
      </c>
      <c r="N28" s="87"/>
    </row>
    <row r="29" spans="2:14" ht="22.5" customHeight="1">
      <c r="B29" s="85"/>
      <c r="C29" s="128" t="s">
        <v>90</v>
      </c>
      <c r="D29" s="129"/>
      <c r="E29" s="189">
        <v>1</v>
      </c>
      <c r="F29" s="120"/>
      <c r="G29" s="116">
        <f t="shared" ref="G29:G35" si="2">F29*E29</f>
        <v>0</v>
      </c>
      <c r="I29" s="132" t="s">
        <v>42</v>
      </c>
      <c r="J29" s="133"/>
      <c r="K29" s="120">
        <v>5</v>
      </c>
      <c r="L29" s="134">
        <f>CULTURA!AJ33</f>
        <v>0</v>
      </c>
      <c r="M29" s="120">
        <f t="shared" si="1"/>
        <v>0</v>
      </c>
      <c r="N29" s="87"/>
    </row>
    <row r="30" spans="2:14" ht="22.5" customHeight="1">
      <c r="B30" s="85"/>
      <c r="C30" s="128" t="s">
        <v>29</v>
      </c>
      <c r="D30" s="129"/>
      <c r="E30" s="189">
        <f>CULTURA!AJ18</f>
        <v>1</v>
      </c>
      <c r="F30" s="120">
        <v>18.09</v>
      </c>
      <c r="G30" s="116">
        <f t="shared" si="2"/>
        <v>18.09</v>
      </c>
      <c r="I30" s="132" t="s">
        <v>43</v>
      </c>
      <c r="J30" s="133"/>
      <c r="K30" s="120">
        <v>3</v>
      </c>
      <c r="L30" s="134">
        <f>CULTURA!AJ34</f>
        <v>1</v>
      </c>
      <c r="M30" s="120">
        <f t="shared" si="1"/>
        <v>3</v>
      </c>
      <c r="N30" s="87"/>
    </row>
    <row r="31" spans="2:14" ht="22.5" customHeight="1">
      <c r="B31" s="85"/>
      <c r="C31" s="143" t="s">
        <v>30</v>
      </c>
      <c r="D31" s="144"/>
      <c r="E31" s="189">
        <f>CULTURA!AJ19</f>
        <v>0</v>
      </c>
      <c r="F31" s="120">
        <v>6.58</v>
      </c>
      <c r="G31" s="116">
        <f t="shared" si="2"/>
        <v>0</v>
      </c>
      <c r="I31" s="138" t="s">
        <v>44</v>
      </c>
      <c r="J31" s="139"/>
      <c r="K31" s="120">
        <v>9</v>
      </c>
      <c r="L31" s="134">
        <f>CULTURA!AJ35</f>
        <v>0</v>
      </c>
      <c r="M31" s="120">
        <f t="shared" si="1"/>
        <v>0</v>
      </c>
      <c r="N31" s="87"/>
    </row>
    <row r="32" spans="2:14" ht="22.5" customHeight="1">
      <c r="B32" s="85"/>
      <c r="C32" s="128" t="s">
        <v>31</v>
      </c>
      <c r="D32" s="129"/>
      <c r="E32" s="189">
        <f>CULTURA!AJ20</f>
        <v>0</v>
      </c>
      <c r="F32" s="120">
        <v>18.09</v>
      </c>
      <c r="G32" s="116">
        <f t="shared" si="2"/>
        <v>0</v>
      </c>
      <c r="I32" s="132" t="s">
        <v>45</v>
      </c>
      <c r="J32" s="133"/>
      <c r="K32" s="120">
        <v>9</v>
      </c>
      <c r="L32" s="134">
        <f>CULTURA!AJ36</f>
        <v>1</v>
      </c>
      <c r="M32" s="120">
        <f t="shared" si="1"/>
        <v>9</v>
      </c>
      <c r="N32" s="87"/>
    </row>
    <row r="33" spans="2:14" ht="22.5" customHeight="1">
      <c r="B33" s="85"/>
      <c r="C33" s="128" t="s">
        <v>32</v>
      </c>
      <c r="D33" s="129"/>
      <c r="E33" s="189">
        <f>CULTURA!AJ21</f>
        <v>0</v>
      </c>
      <c r="F33" s="120">
        <v>21.38</v>
      </c>
      <c r="G33" s="116">
        <f t="shared" si="2"/>
        <v>0</v>
      </c>
      <c r="I33" s="132" t="s">
        <v>46</v>
      </c>
      <c r="J33" s="133"/>
      <c r="K33" s="120">
        <v>6</v>
      </c>
      <c r="L33" s="134">
        <f>CULTURA!AJ37</f>
        <v>0</v>
      </c>
      <c r="M33" s="120">
        <f t="shared" si="1"/>
        <v>0</v>
      </c>
      <c r="N33" s="87"/>
    </row>
    <row r="34" spans="2:14" ht="22.5" customHeight="1">
      <c r="B34" s="85"/>
      <c r="C34" s="128" t="s">
        <v>33</v>
      </c>
      <c r="D34" s="129"/>
      <c r="E34" s="189">
        <f>CULTURA!AJ22</f>
        <v>0</v>
      </c>
      <c r="F34" s="120">
        <v>21.31</v>
      </c>
      <c r="G34" s="116">
        <f t="shared" si="2"/>
        <v>0</v>
      </c>
      <c r="I34" s="132" t="s">
        <v>47</v>
      </c>
      <c r="J34" s="133"/>
      <c r="K34" s="120">
        <v>22</v>
      </c>
      <c r="L34" s="134">
        <f>CULTURA!AJ38</f>
        <v>0</v>
      </c>
      <c r="M34" s="120">
        <f t="shared" si="1"/>
        <v>0</v>
      </c>
      <c r="N34" s="87"/>
    </row>
    <row r="35" spans="2:14" ht="22.5" customHeight="1">
      <c r="B35" s="85"/>
      <c r="C35" s="128" t="s">
        <v>33</v>
      </c>
      <c r="D35" s="129"/>
      <c r="E35" s="189">
        <f>CULTURA!AJ23</f>
        <v>2</v>
      </c>
      <c r="F35" s="120">
        <v>21.31</v>
      </c>
      <c r="G35" s="116">
        <f t="shared" si="2"/>
        <v>42.62</v>
      </c>
      <c r="I35" s="132" t="s">
        <v>48</v>
      </c>
      <c r="J35" s="133"/>
      <c r="K35" s="120">
        <v>22</v>
      </c>
      <c r="L35" s="134">
        <f>CULTURA!AJ39</f>
        <v>0</v>
      </c>
      <c r="M35" s="120">
        <f t="shared" si="1"/>
        <v>0</v>
      </c>
      <c r="N35" s="87"/>
    </row>
    <row r="36" spans="2:14" ht="22.5" customHeight="1">
      <c r="B36" s="85"/>
      <c r="C36" s="105" t="s">
        <v>91</v>
      </c>
      <c r="D36" s="141"/>
      <c r="E36" s="141"/>
      <c r="F36" s="141"/>
      <c r="G36" s="142"/>
      <c r="I36" s="132" t="s">
        <v>49</v>
      </c>
      <c r="J36" s="133"/>
      <c r="K36" s="120">
        <v>22</v>
      </c>
      <c r="L36" s="134">
        <f>CULTURA!AJ40</f>
        <v>0</v>
      </c>
      <c r="M36" s="120">
        <f t="shared" si="1"/>
        <v>0</v>
      </c>
      <c r="N36" s="87"/>
    </row>
    <row r="37" spans="2:14" ht="22.5" customHeight="1">
      <c r="B37" s="85"/>
      <c r="C37" s="128" t="s">
        <v>34</v>
      </c>
      <c r="D37" s="129"/>
      <c r="E37" s="190">
        <f>CULTURA!AJ24</f>
        <v>0</v>
      </c>
      <c r="F37" s="120">
        <v>11</v>
      </c>
      <c r="G37" s="116">
        <f>F37*E37</f>
        <v>0</v>
      </c>
      <c r="I37" s="132" t="s">
        <v>50</v>
      </c>
      <c r="J37" s="133"/>
      <c r="K37" s="120">
        <v>22</v>
      </c>
      <c r="L37" s="134">
        <f>CULTURA!AJ41</f>
        <v>1</v>
      </c>
      <c r="M37" s="120">
        <f t="shared" si="1"/>
        <v>22</v>
      </c>
      <c r="N37" s="87"/>
    </row>
    <row r="38" spans="2:14" ht="22.5" customHeight="1">
      <c r="B38" s="85"/>
      <c r="C38" s="128" t="s">
        <v>35</v>
      </c>
      <c r="D38" s="129"/>
      <c r="E38" s="190">
        <f>CULTURA!AJ25</f>
        <v>2</v>
      </c>
      <c r="F38" s="120">
        <v>5.5</v>
      </c>
      <c r="G38" s="116">
        <f t="shared" ref="G38:G39" si="3">F38*E38</f>
        <v>11</v>
      </c>
      <c r="I38" s="138" t="s">
        <v>51</v>
      </c>
      <c r="J38" s="139"/>
      <c r="K38" s="120">
        <v>33</v>
      </c>
      <c r="L38" s="134">
        <f>CULTURA!AJ42</f>
        <v>1</v>
      </c>
      <c r="M38" s="120">
        <f t="shared" si="1"/>
        <v>33</v>
      </c>
      <c r="N38" s="87"/>
    </row>
    <row r="39" spans="2:14" ht="22.5" customHeight="1">
      <c r="B39" s="85"/>
      <c r="C39" s="128" t="s">
        <v>36</v>
      </c>
      <c r="D39" s="129"/>
      <c r="E39" s="190">
        <f>CULTURA!AJ26</f>
        <v>0</v>
      </c>
      <c r="F39" s="120">
        <v>5.5</v>
      </c>
      <c r="G39" s="116">
        <f t="shared" si="3"/>
        <v>0</v>
      </c>
      <c r="I39" s="132" t="s">
        <v>52</v>
      </c>
      <c r="J39" s="133"/>
      <c r="K39" s="145">
        <v>9</v>
      </c>
      <c r="L39" s="134">
        <f>CULTURA!AJ43</f>
        <v>0</v>
      </c>
      <c r="M39" s="120">
        <f t="shared" si="1"/>
        <v>0</v>
      </c>
      <c r="N39" s="87"/>
    </row>
    <row r="40" spans="2:14" ht="22.5" customHeight="1">
      <c r="B40" s="85"/>
      <c r="C40" s="128" t="s">
        <v>92</v>
      </c>
      <c r="D40" s="129"/>
      <c r="E40" s="117">
        <v>0</v>
      </c>
      <c r="F40" s="116">
        <v>3500</v>
      </c>
      <c r="G40" s="116">
        <f>F40*0.01*E40</f>
        <v>0</v>
      </c>
      <c r="I40" s="146"/>
      <c r="J40" s="146"/>
      <c r="K40" s="147"/>
      <c r="L40" s="147"/>
      <c r="M40" s="147"/>
      <c r="N40" s="87"/>
    </row>
    <row r="41" spans="2:14" ht="22.5" customHeight="1">
      <c r="B41" s="85"/>
      <c r="C41" s="148"/>
      <c r="D41" s="148"/>
      <c r="E41" s="149"/>
      <c r="F41" s="148"/>
      <c r="G41" s="150"/>
      <c r="I41" s="146"/>
      <c r="J41" s="146"/>
      <c r="K41" s="93"/>
      <c r="L41" s="93"/>
      <c r="M41" s="93"/>
      <c r="N41" s="87"/>
    </row>
    <row r="42" spans="2:14" ht="13.8">
      <c r="B42" s="85"/>
      <c r="C42" s="151" t="s">
        <v>93</v>
      </c>
      <c r="D42" s="152"/>
      <c r="E42" s="152"/>
      <c r="F42" s="152"/>
      <c r="N42" s="87"/>
    </row>
    <row r="43" spans="2:14" ht="22.5" customHeight="1">
      <c r="B43" s="85"/>
      <c r="C43" s="110" t="s">
        <v>94</v>
      </c>
      <c r="D43" s="110" t="s">
        <v>75</v>
      </c>
      <c r="E43" s="114" t="s">
        <v>95</v>
      </c>
      <c r="F43" s="110" t="s">
        <v>96</v>
      </c>
      <c r="N43" s="87"/>
    </row>
    <row r="44" spans="2:14" ht="22.5" customHeight="1">
      <c r="B44" s="85"/>
      <c r="C44" s="110" t="s">
        <v>97</v>
      </c>
      <c r="D44" s="153">
        <f>F20/15</f>
        <v>400</v>
      </c>
      <c r="E44" s="154">
        <v>0</v>
      </c>
      <c r="F44" s="153">
        <f>E44*D44</f>
        <v>0</v>
      </c>
      <c r="N44" s="87"/>
    </row>
    <row r="45" spans="2:14" ht="15.75" customHeight="1">
      <c r="B45" s="85"/>
      <c r="N45" s="87"/>
    </row>
    <row r="46" spans="2:14" ht="22.5" customHeight="1">
      <c r="B46" s="85"/>
      <c r="C46" s="155" t="s">
        <v>98</v>
      </c>
      <c r="D46" s="83"/>
      <c r="E46" s="156">
        <f>F20+G23+G24+G25+G26+G28+G29+G30+G31+G32+G33+G34+G35+G37+G38+G39+G40+F44</f>
        <v>6278.93</v>
      </c>
      <c r="F46" s="157"/>
      <c r="G46" s="158"/>
      <c r="I46" s="159" t="s">
        <v>99</v>
      </c>
      <c r="J46" s="160"/>
      <c r="K46" s="161">
        <f>SUM(M20:M39)</f>
        <v>859.6</v>
      </c>
      <c r="L46" s="162"/>
      <c r="M46" s="163"/>
      <c r="N46" s="87"/>
    </row>
    <row r="47" spans="2:14" ht="13.8">
      <c r="B47" s="85"/>
      <c r="N47" s="87"/>
    </row>
    <row r="48" spans="2:14" ht="13.8">
      <c r="B48" s="102" t="s">
        <v>100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4"/>
    </row>
    <row r="49" spans="2:14" ht="13.8">
      <c r="B49" s="82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4"/>
    </row>
    <row r="50" spans="2:14" ht="14.4" thickBot="1">
      <c r="B50" s="85"/>
      <c r="N50" s="87"/>
    </row>
    <row r="51" spans="2:14" ht="24.6" customHeight="1" thickTop="1">
      <c r="B51" s="164"/>
      <c r="C51" s="165" t="s">
        <v>101</v>
      </c>
      <c r="D51" s="166"/>
      <c r="E51" s="167"/>
      <c r="F51" s="167"/>
      <c r="G51" s="168"/>
      <c r="J51" s="169" t="s">
        <v>102</v>
      </c>
      <c r="K51" s="106"/>
      <c r="L51" s="106"/>
      <c r="M51" s="89"/>
      <c r="N51" s="87"/>
    </row>
    <row r="52" spans="2:14" ht="28.2" customHeight="1">
      <c r="B52" s="164"/>
      <c r="C52" s="170"/>
      <c r="D52" s="171"/>
      <c r="E52" s="171"/>
      <c r="F52" s="171"/>
      <c r="G52" s="172"/>
      <c r="J52" s="88" t="s">
        <v>103</v>
      </c>
      <c r="K52" s="89"/>
      <c r="L52" s="173">
        <f>E46</f>
        <v>6278.93</v>
      </c>
      <c r="M52" s="174"/>
      <c r="N52" s="87"/>
    </row>
    <row r="53" spans="2:14" ht="22.5" customHeight="1">
      <c r="B53" s="164"/>
      <c r="C53" s="170"/>
      <c r="D53" s="171"/>
      <c r="E53" s="171"/>
      <c r="F53" s="171"/>
      <c r="G53" s="172"/>
      <c r="J53" s="175" t="s">
        <v>73</v>
      </c>
      <c r="K53" s="160"/>
      <c r="L53" s="161">
        <f>K46</f>
        <v>859.6</v>
      </c>
      <c r="M53" s="176"/>
      <c r="N53" s="87"/>
    </row>
    <row r="54" spans="2:14" ht="22.5" customHeight="1">
      <c r="B54" s="164"/>
      <c r="C54" s="170"/>
      <c r="D54" s="171"/>
      <c r="E54" s="171"/>
      <c r="F54" s="171"/>
      <c r="G54" s="172"/>
      <c r="J54" s="88" t="s">
        <v>104</v>
      </c>
      <c r="K54" s="89"/>
      <c r="L54" s="173">
        <f>L52-L53</f>
        <v>5419.33</v>
      </c>
      <c r="M54" s="174"/>
      <c r="N54" s="87"/>
    </row>
    <row r="55" spans="2:14" ht="13.8">
      <c r="B55" s="85"/>
      <c r="C55" s="177"/>
      <c r="G55" s="178"/>
      <c r="N55" s="87"/>
    </row>
    <row r="56" spans="2:14" ht="13.8">
      <c r="B56" s="85"/>
      <c r="C56" s="177"/>
      <c r="G56" s="178"/>
      <c r="J56" s="179" t="s">
        <v>105</v>
      </c>
      <c r="K56" s="106"/>
      <c r="L56" s="106"/>
      <c r="M56" s="89"/>
      <c r="N56" s="87"/>
    </row>
    <row r="57" spans="2:14" ht="22.5" customHeight="1" thickBot="1">
      <c r="B57" s="85"/>
      <c r="C57" s="180"/>
      <c r="D57" s="181"/>
      <c r="E57" s="181"/>
      <c r="F57" s="181"/>
      <c r="G57" s="182"/>
      <c r="J57" s="183">
        <f>L54</f>
        <v>5419.33</v>
      </c>
      <c r="K57" s="184"/>
      <c r="L57" s="184"/>
      <c r="M57" s="185"/>
      <c r="N57" s="87"/>
    </row>
    <row r="58" spans="2:14" ht="14.4" thickTop="1">
      <c r="B58" s="186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8"/>
    </row>
  </sheetData>
  <mergeCells count="76">
    <mergeCell ref="J56:M56"/>
    <mergeCell ref="J57:M57"/>
    <mergeCell ref="C52:G54"/>
    <mergeCell ref="J52:K52"/>
    <mergeCell ref="L52:M52"/>
    <mergeCell ref="J53:K53"/>
    <mergeCell ref="L53:M53"/>
    <mergeCell ref="J54:K54"/>
    <mergeCell ref="L54:M54"/>
    <mergeCell ref="C46:D46"/>
    <mergeCell ref="E46:F46"/>
    <mergeCell ref="I46:J46"/>
    <mergeCell ref="K46:M46"/>
    <mergeCell ref="B48:N49"/>
    <mergeCell ref="C51:D51"/>
    <mergeCell ref="J51:M51"/>
    <mergeCell ref="C38:D38"/>
    <mergeCell ref="I38:J38"/>
    <mergeCell ref="C39:D39"/>
    <mergeCell ref="I39:J39"/>
    <mergeCell ref="C40:D40"/>
    <mergeCell ref="C42:F42"/>
    <mergeCell ref="C35:D35"/>
    <mergeCell ref="I35:J35"/>
    <mergeCell ref="C36:G36"/>
    <mergeCell ref="I36:J36"/>
    <mergeCell ref="C37:D37"/>
    <mergeCell ref="I37:J37"/>
    <mergeCell ref="I31:J31"/>
    <mergeCell ref="C32:D32"/>
    <mergeCell ref="I32:J32"/>
    <mergeCell ref="C33:D33"/>
    <mergeCell ref="I33:J33"/>
    <mergeCell ref="C34:D34"/>
    <mergeCell ref="I34:J34"/>
    <mergeCell ref="C28:D28"/>
    <mergeCell ref="I28:J28"/>
    <mergeCell ref="C29:D29"/>
    <mergeCell ref="I29:J29"/>
    <mergeCell ref="C30:D30"/>
    <mergeCell ref="I30:J30"/>
    <mergeCell ref="C25:D25"/>
    <mergeCell ref="I25:J25"/>
    <mergeCell ref="C26:D26"/>
    <mergeCell ref="I26:J26"/>
    <mergeCell ref="C27:G27"/>
    <mergeCell ref="I27:J27"/>
    <mergeCell ref="C22:D22"/>
    <mergeCell ref="I22:J22"/>
    <mergeCell ref="C23:D23"/>
    <mergeCell ref="I23:M23"/>
    <mergeCell ref="C24:D24"/>
    <mergeCell ref="I24:J24"/>
    <mergeCell ref="B15:N16"/>
    <mergeCell ref="C18:G18"/>
    <mergeCell ref="I18:M18"/>
    <mergeCell ref="I19:J19"/>
    <mergeCell ref="I20:J20"/>
    <mergeCell ref="C21:G21"/>
    <mergeCell ref="I21:J21"/>
    <mergeCell ref="C11:D11"/>
    <mergeCell ref="E11:G11"/>
    <mergeCell ref="I11:J11"/>
    <mergeCell ref="K11:M11"/>
    <mergeCell ref="C13:D13"/>
    <mergeCell ref="E13:G13"/>
    <mergeCell ref="I13:J13"/>
    <mergeCell ref="K13:M13"/>
    <mergeCell ref="B2:E2"/>
    <mergeCell ref="B3:E4"/>
    <mergeCell ref="I3:N3"/>
    <mergeCell ref="B6:N7"/>
    <mergeCell ref="C9:D9"/>
    <mergeCell ref="E9:G9"/>
    <mergeCell ref="I9:J9"/>
    <mergeCell ref="K9:M9"/>
  </mergeCells>
  <pageMargins left="0.25" right="0.25" top="0.75" bottom="0.75" header="0.3" footer="0.3"/>
  <pageSetup paperSize="125" scale="53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E341-1BC2-4225-913B-52A16B96B8AD}">
  <dimension ref="A1:E12"/>
  <sheetViews>
    <sheetView workbookViewId="0">
      <selection activeCell="B1" sqref="B1"/>
    </sheetView>
  </sheetViews>
  <sheetFormatPr baseColWidth="10" defaultRowHeight="13.8"/>
  <sheetData>
    <row r="1" spans="1:5">
      <c r="A1" t="s">
        <v>6</v>
      </c>
      <c r="B1">
        <f>+ROW()</f>
        <v>1</v>
      </c>
      <c r="D1">
        <v>1</v>
      </c>
      <c r="E1" t="s">
        <v>17</v>
      </c>
    </row>
    <row r="2" spans="1:5">
      <c r="A2" t="s">
        <v>7</v>
      </c>
      <c r="B2">
        <f t="shared" ref="B2:B12" si="0">+ROW()</f>
        <v>2</v>
      </c>
      <c r="D2">
        <v>2</v>
      </c>
      <c r="E2" t="s">
        <v>18</v>
      </c>
    </row>
    <row r="3" spans="1:5">
      <c r="A3" t="s">
        <v>2</v>
      </c>
      <c r="B3">
        <f t="shared" si="0"/>
        <v>3</v>
      </c>
      <c r="D3">
        <v>3</v>
      </c>
      <c r="E3" t="s">
        <v>18</v>
      </c>
    </row>
    <row r="4" spans="1:5">
      <c r="A4" t="s">
        <v>8</v>
      </c>
      <c r="B4">
        <f t="shared" si="0"/>
        <v>4</v>
      </c>
      <c r="D4">
        <v>4</v>
      </c>
      <c r="E4" t="s">
        <v>4</v>
      </c>
    </row>
    <row r="5" spans="1:5">
      <c r="A5" t="s">
        <v>9</v>
      </c>
      <c r="B5">
        <f t="shared" si="0"/>
        <v>5</v>
      </c>
      <c r="D5">
        <v>5</v>
      </c>
      <c r="E5" t="s">
        <v>19</v>
      </c>
    </row>
    <row r="6" spans="1:5">
      <c r="A6" t="s">
        <v>10</v>
      </c>
      <c r="B6">
        <f t="shared" si="0"/>
        <v>6</v>
      </c>
      <c r="D6">
        <v>6</v>
      </c>
      <c r="E6" t="s">
        <v>20</v>
      </c>
    </row>
    <row r="7" spans="1:5">
      <c r="A7" t="s">
        <v>11</v>
      </c>
      <c r="B7">
        <f t="shared" si="0"/>
        <v>7</v>
      </c>
      <c r="D7">
        <v>7</v>
      </c>
      <c r="E7" t="s">
        <v>21</v>
      </c>
    </row>
    <row r="8" spans="1:5">
      <c r="A8" t="s">
        <v>12</v>
      </c>
      <c r="B8">
        <f t="shared" si="0"/>
        <v>8</v>
      </c>
    </row>
    <row r="9" spans="1:5">
      <c r="A9" t="s">
        <v>13</v>
      </c>
      <c r="B9">
        <f t="shared" si="0"/>
        <v>9</v>
      </c>
    </row>
    <row r="10" spans="1:5">
      <c r="A10" t="s">
        <v>14</v>
      </c>
      <c r="B10">
        <f t="shared" si="0"/>
        <v>10</v>
      </c>
    </row>
    <row r="11" spans="1:5">
      <c r="A11" t="s">
        <v>15</v>
      </c>
      <c r="B11">
        <f t="shared" si="0"/>
        <v>11</v>
      </c>
    </row>
    <row r="12" spans="1:5">
      <c r="A12" t="s">
        <v>16</v>
      </c>
      <c r="B12">
        <f t="shared" si="0"/>
        <v>12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CULTURA</vt:lpstr>
      <vt:lpstr>RECIBO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excelfull.com</dc:creator>
  <cp:lastModifiedBy>Colaborator01 OCM</cp:lastModifiedBy>
  <dcterms:created xsi:type="dcterms:W3CDTF">2021-12-06T19:45:10Z</dcterms:created>
  <dcterms:modified xsi:type="dcterms:W3CDTF">2025-11-02T21:18:47Z</dcterms:modified>
</cp:coreProperties>
</file>